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uch003\Downloads\"/>
    </mc:Choice>
  </mc:AlternateContent>
  <xr:revisionPtr revIDLastSave="0" documentId="10_ncr:8100000_{C4D0CEA7-FA1D-47DB-AA2C-344AF6AE1869}" xr6:coauthVersionLast="34" xr6:coauthVersionMax="34" xr10:uidLastSave="{00000000-0000-0000-0000-000000000000}"/>
  <bookViews>
    <workbookView xWindow="0" yWindow="0" windowWidth="27870" windowHeight="12810" activeTab="3" xr2:uid="{00000000-000D-0000-FFFF-FFFF00000000}"/>
  </bookViews>
  <sheets>
    <sheet name="MODEL" sheetId="4" r:id="rId1"/>
    <sheet name="PEAQ STARY MSN" sheetId="5" r:id="rId2"/>
    <sheet name="MD" sheetId="2" r:id="rId3"/>
    <sheet name="BIOS" sheetId="24" r:id="rId4"/>
    <sheet name="SWM MEDION" sheetId="11" r:id="rId5"/>
    <sheet name="naprawa" sheetId="14" r:id="rId6"/>
    <sheet name="Shipping mode medion" sheetId="17" state="hidden" r:id="rId7"/>
    <sheet name="Shipping mode PEAQ" sheetId="22" state="hidden" r:id="rId8"/>
    <sheet name="Arkusz1" sheetId="23" state="hidden" r:id="rId9"/>
    <sheet name="bledy QC" sheetId="16" state="hidden" r:id="rId10"/>
    <sheet name="SWM PEAQ" sheetId="12" state="hidden" r:id="rId11"/>
    <sheet name="BIOS PG" sheetId="13" state="hidden" r:id="rId12"/>
  </sheets>
  <definedNames>
    <definedName name="_xlnm._FilterDatabase" localSheetId="11" hidden="1">'BIOS PG'!$A$1:$G$54</definedName>
    <definedName name="_xlnm._FilterDatabase" localSheetId="9" hidden="1">'bledy QC'!$I$1:$K$22</definedName>
    <definedName name="_xlnm._FilterDatabase" localSheetId="2" hidden="1">MD!$A$1:$N$372</definedName>
  </definedNames>
  <calcPr calcId="162913"/>
  <pivotCaches>
    <pivotCache cacheId="0" r:id="rId13"/>
    <pivotCache cacheId="1" r:id="rId14"/>
    <pivotCache cacheId="2" r:id="rId15"/>
    <pivotCache cacheId="3" r:id="rId16"/>
  </pivotCaches>
</workbook>
</file>

<file path=xl/calcChain.xml><?xml version="1.0" encoding="utf-8"?>
<calcChain xmlns="http://schemas.openxmlformats.org/spreadsheetml/2006/main">
  <c r="B19" i="4" l="1"/>
  <c r="B5" i="4"/>
  <c r="D13" i="4" l="1"/>
  <c r="B17" i="4"/>
  <c r="B18" i="4" s="1"/>
  <c r="B16" i="4"/>
  <c r="B14" i="4"/>
  <c r="B13" i="4"/>
  <c r="B12" i="4"/>
  <c r="B11" i="4"/>
  <c r="B8" i="4"/>
  <c r="B10" i="4"/>
  <c r="A85" i="4"/>
  <c r="B7" i="4"/>
  <c r="B6" i="4"/>
  <c r="C9" i="4" l="1"/>
  <c r="B9" i="4" l="1"/>
  <c r="B706" i="11"/>
  <c r="B707" i="11"/>
  <c r="B708" i="11"/>
  <c r="B709" i="11"/>
  <c r="B710" i="11"/>
  <c r="B711" i="11"/>
  <c r="B712" i="11"/>
  <c r="B713" i="11"/>
  <c r="B714" i="11"/>
  <c r="B715" i="11"/>
  <c r="B716" i="11"/>
  <c r="B717" i="11"/>
  <c r="B718" i="11"/>
  <c r="B719" i="11"/>
  <c r="B720" i="11"/>
  <c r="B721" i="11"/>
  <c r="B722" i="11"/>
  <c r="B723" i="11"/>
  <c r="B724" i="11"/>
  <c r="B725" i="11"/>
  <c r="B726" i="11"/>
  <c r="B727" i="11"/>
  <c r="B728" i="11"/>
  <c r="B729" i="11"/>
  <c r="B730" i="11"/>
  <c r="B731" i="11"/>
  <c r="B732" i="11"/>
  <c r="B733" i="11"/>
  <c r="B734" i="11"/>
  <c r="B735" i="11"/>
  <c r="B736" i="11"/>
  <c r="B737" i="11"/>
  <c r="B738" i="11"/>
  <c r="B739" i="11"/>
  <c r="B740" i="11"/>
  <c r="B741" i="11"/>
  <c r="B742" i="11"/>
  <c r="B743" i="11"/>
  <c r="B744" i="11"/>
  <c r="B745" i="11"/>
  <c r="B746" i="11"/>
  <c r="B747" i="11"/>
  <c r="B748" i="11"/>
  <c r="B749" i="11"/>
  <c r="B750" i="11"/>
  <c r="B751" i="11"/>
  <c r="B752" i="11"/>
  <c r="B753" i="11"/>
  <c r="B754" i="11"/>
  <c r="B755" i="11"/>
  <c r="B756" i="11"/>
  <c r="B757" i="11"/>
  <c r="B758" i="11"/>
  <c r="B759" i="11"/>
  <c r="B760" i="11"/>
  <c r="B761" i="11"/>
  <c r="B762" i="11"/>
  <c r="B763" i="11"/>
  <c r="B764" i="11"/>
  <c r="B765" i="11"/>
  <c r="B766" i="11"/>
  <c r="B767" i="11"/>
  <c r="B768" i="11"/>
  <c r="B769" i="11"/>
  <c r="B770" i="11"/>
  <c r="B771" i="11"/>
  <c r="B772" i="11"/>
  <c r="B773" i="11"/>
  <c r="B774" i="11"/>
  <c r="B775" i="11"/>
  <c r="B776" i="11"/>
  <c r="B777" i="11"/>
  <c r="B778" i="11"/>
  <c r="B779" i="11"/>
  <c r="B780" i="11"/>
  <c r="B781" i="11"/>
  <c r="B782" i="11"/>
  <c r="B783" i="11"/>
  <c r="B784" i="11"/>
  <c r="B785" i="11"/>
  <c r="B786" i="11"/>
  <c r="B787" i="11"/>
  <c r="B788" i="11"/>
  <c r="B789" i="11"/>
  <c r="B790" i="11"/>
  <c r="B791" i="11"/>
  <c r="B792" i="11"/>
  <c r="B793" i="11"/>
  <c r="B794" i="11"/>
  <c r="B795" i="11"/>
  <c r="B796" i="11"/>
  <c r="B797" i="11"/>
  <c r="B798" i="11"/>
  <c r="B799" i="11"/>
  <c r="B800" i="11"/>
  <c r="B801" i="11"/>
  <c r="B802" i="11"/>
  <c r="B803" i="11"/>
  <c r="B804" i="11"/>
  <c r="B805" i="11"/>
  <c r="B806" i="11"/>
  <c r="B807" i="11"/>
  <c r="B808" i="11"/>
  <c r="B809" i="11"/>
  <c r="B810" i="11"/>
  <c r="B811" i="11"/>
  <c r="B812" i="11"/>
  <c r="B813" i="11"/>
  <c r="B814" i="11"/>
  <c r="B815" i="11"/>
  <c r="B816" i="11"/>
  <c r="B817" i="11"/>
  <c r="B818" i="11"/>
  <c r="B819" i="11"/>
  <c r="B820" i="11"/>
  <c r="B821" i="11"/>
  <c r="B822" i="11"/>
  <c r="B823" i="11"/>
  <c r="B824" i="11"/>
  <c r="B825" i="11"/>
  <c r="B826" i="11"/>
  <c r="B827" i="11"/>
  <c r="B828" i="11"/>
  <c r="B829" i="11"/>
  <c r="B830" i="11"/>
  <c r="B831" i="11"/>
  <c r="B832" i="11"/>
  <c r="B833" i="11"/>
  <c r="B834" i="11"/>
  <c r="B835" i="11"/>
  <c r="B836" i="11"/>
  <c r="B837" i="11"/>
  <c r="B838" i="11"/>
  <c r="B839" i="11"/>
  <c r="B840" i="11"/>
  <c r="B841" i="11"/>
  <c r="B842" i="11"/>
  <c r="B843" i="11"/>
  <c r="B844" i="11"/>
  <c r="B845" i="11"/>
  <c r="B846" i="11"/>
  <c r="B847" i="11"/>
  <c r="B848" i="11"/>
  <c r="B849" i="11"/>
  <c r="B850" i="11"/>
  <c r="B851" i="11"/>
  <c r="B852" i="11"/>
  <c r="B853" i="11"/>
  <c r="B854" i="11"/>
  <c r="B855" i="11"/>
  <c r="B856" i="11"/>
  <c r="B857" i="11"/>
  <c r="B858" i="11"/>
  <c r="B859" i="11"/>
  <c r="B860" i="11"/>
  <c r="B861" i="11"/>
  <c r="B862" i="11"/>
  <c r="B863" i="11"/>
  <c r="B864" i="11"/>
  <c r="B865" i="11"/>
  <c r="B866" i="11"/>
  <c r="B867" i="11"/>
  <c r="B868" i="11"/>
  <c r="B869" i="11"/>
  <c r="B870" i="11"/>
  <c r="B871" i="11"/>
  <c r="B872" i="11"/>
  <c r="B873" i="11"/>
  <c r="B874" i="11"/>
  <c r="B875" i="11"/>
  <c r="B876" i="11"/>
  <c r="B877" i="11"/>
  <c r="B878" i="11"/>
  <c r="B879" i="11"/>
  <c r="B880" i="11"/>
  <c r="B881" i="11"/>
  <c r="B882" i="11"/>
  <c r="B883" i="11"/>
  <c r="B884" i="11"/>
  <c r="B885" i="11"/>
  <c r="B886" i="11"/>
  <c r="B887" i="11"/>
  <c r="B888" i="11"/>
  <c r="B889" i="11"/>
  <c r="B890" i="11"/>
  <c r="B891" i="11"/>
  <c r="B892" i="11"/>
  <c r="B893" i="11"/>
  <c r="B894" i="11"/>
  <c r="B895" i="11"/>
  <c r="B896" i="11"/>
  <c r="B897" i="11"/>
  <c r="B898" i="11"/>
  <c r="B899" i="11"/>
  <c r="B900" i="11"/>
  <c r="B901" i="11"/>
  <c r="B902" i="11"/>
  <c r="B903" i="11"/>
  <c r="B904" i="11"/>
  <c r="B905" i="11"/>
  <c r="B906" i="11"/>
  <c r="B907" i="11"/>
  <c r="B908" i="11"/>
  <c r="B909" i="11"/>
  <c r="B910" i="11"/>
  <c r="B911" i="11"/>
  <c r="B912" i="11"/>
  <c r="B913" i="11"/>
  <c r="B914" i="11"/>
  <c r="B915" i="11"/>
  <c r="B916" i="11"/>
  <c r="B917" i="11"/>
  <c r="B918" i="11"/>
  <c r="B919" i="11"/>
  <c r="B920" i="11"/>
  <c r="B921" i="11"/>
  <c r="B922" i="11"/>
  <c r="B923" i="11"/>
  <c r="B924" i="11"/>
  <c r="B925" i="11"/>
  <c r="B926" i="11"/>
  <c r="B697" i="11" l="1"/>
  <c r="B698" i="11"/>
  <c r="B699" i="11"/>
  <c r="B700" i="11"/>
  <c r="B701" i="11"/>
  <c r="B702" i="11"/>
  <c r="B703" i="11"/>
  <c r="B704" i="11"/>
  <c r="B705" i="11"/>
  <c r="B4" i="11" l="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 l="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452" i="11"/>
  <c r="B453" i="11"/>
  <c r="B454" i="11"/>
  <c r="B455" i="11"/>
  <c r="B456" i="11"/>
  <c r="B457" i="11"/>
  <c r="B458" i="11"/>
  <c r="B459" i="11"/>
  <c r="B460" i="11"/>
  <c r="B461" i="11"/>
  <c r="B462" i="11"/>
  <c r="B463" i="11"/>
  <c r="B464" i="11"/>
  <c r="B465" i="11"/>
  <c r="B466" i="11"/>
  <c r="B467" i="11"/>
  <c r="B468" i="11"/>
  <c r="B469" i="11"/>
  <c r="B470" i="11"/>
  <c r="B471" i="11"/>
  <c r="B472" i="11"/>
  <c r="B473" i="11"/>
  <c r="B474" i="11"/>
  <c r="B475" i="11"/>
  <c r="B476" i="11"/>
  <c r="B477" i="11"/>
  <c r="B478" i="11" l="1"/>
  <c r="B479" i="11"/>
  <c r="B480" i="11"/>
  <c r="B481" i="11"/>
  <c r="B482" i="11"/>
  <c r="B483" i="11"/>
  <c r="B484" i="11"/>
  <c r="B485" i="11"/>
  <c r="B486" i="11"/>
  <c r="B487" i="11"/>
  <c r="B488" i="11"/>
  <c r="B489" i="11"/>
  <c r="B490" i="11"/>
  <c r="B491" i="11"/>
  <c r="B492" i="11"/>
  <c r="B493" i="11"/>
  <c r="B494" i="11"/>
  <c r="B495" i="11"/>
  <c r="B496" i="11"/>
  <c r="B497" i="11"/>
  <c r="B498" i="11"/>
  <c r="B499" i="11"/>
  <c r="B500" i="11"/>
  <c r="B501" i="11"/>
  <c r="B502" i="11"/>
  <c r="B503" i="11"/>
  <c r="B504" i="11"/>
  <c r="B505" i="11"/>
  <c r="B506" i="11"/>
  <c r="B507" i="11"/>
  <c r="B508" i="11"/>
  <c r="B509" i="11"/>
  <c r="B510" i="11"/>
  <c r="B511" i="11"/>
  <c r="B512" i="11"/>
  <c r="B513" i="11"/>
  <c r="B514" i="11"/>
  <c r="B515" i="11"/>
  <c r="B516" i="11"/>
  <c r="B517" i="11"/>
  <c r="B518" i="11"/>
  <c r="B519" i="11"/>
  <c r="B520" i="11"/>
  <c r="B521" i="11"/>
  <c r="B522" i="11"/>
  <c r="B523" i="11"/>
  <c r="B524" i="11"/>
  <c r="B525" i="11"/>
  <c r="B526" i="11"/>
  <c r="B527" i="11"/>
  <c r="B528" i="11"/>
  <c r="B529" i="11"/>
  <c r="B530" i="11"/>
  <c r="B531" i="11"/>
  <c r="B532" i="11"/>
  <c r="B533" i="11"/>
  <c r="B534" i="11"/>
  <c r="B535" i="11"/>
  <c r="B536" i="11"/>
  <c r="B537" i="11"/>
  <c r="B538" i="11"/>
  <c r="B539" i="11"/>
  <c r="B540" i="11"/>
  <c r="B541" i="11"/>
  <c r="B542" i="11"/>
  <c r="B543" i="11"/>
  <c r="B544" i="11"/>
  <c r="B545" i="11"/>
  <c r="B546" i="11"/>
  <c r="B547" i="11"/>
  <c r="B548" i="11"/>
  <c r="B549" i="11"/>
  <c r="B550" i="11"/>
  <c r="B551" i="11"/>
  <c r="B552" i="11"/>
  <c r="B553" i="11"/>
  <c r="B554" i="11"/>
  <c r="B555" i="11"/>
  <c r="B556" i="11"/>
  <c r="B557" i="11"/>
  <c r="B558" i="11"/>
  <c r="B559" i="11"/>
  <c r="B560" i="11"/>
  <c r="B561" i="11"/>
  <c r="B562" i="11"/>
  <c r="B563" i="11"/>
  <c r="B564" i="11"/>
  <c r="B565" i="11"/>
  <c r="B566" i="11"/>
  <c r="B567" i="11"/>
  <c r="B568" i="11"/>
  <c r="B569" i="11"/>
  <c r="B570" i="11"/>
  <c r="B571" i="11"/>
  <c r="B572" i="11"/>
  <c r="B573" i="11"/>
  <c r="B574" i="11"/>
  <c r="B575" i="11"/>
  <c r="B576" i="11"/>
  <c r="B577" i="11"/>
  <c r="B578" i="11"/>
  <c r="B579" i="11"/>
  <c r="B580" i="11"/>
  <c r="B581" i="11"/>
  <c r="B582" i="11"/>
  <c r="B583" i="11"/>
  <c r="B584" i="11"/>
  <c r="B585" i="11"/>
  <c r="B586" i="11"/>
  <c r="B587" i="11"/>
  <c r="B588" i="11"/>
  <c r="B589" i="11"/>
  <c r="B590" i="11"/>
  <c r="B591" i="11"/>
  <c r="B592" i="11"/>
  <c r="B593" i="11"/>
  <c r="B594" i="11"/>
  <c r="B595" i="11"/>
  <c r="B596" i="11"/>
  <c r="B597" i="11"/>
  <c r="B598" i="11"/>
  <c r="B599" i="11"/>
  <c r="B600" i="11"/>
  <c r="B601" i="11"/>
  <c r="B602" i="11"/>
  <c r="B603" i="11"/>
  <c r="B604" i="11"/>
  <c r="B605" i="11"/>
  <c r="B606" i="11"/>
  <c r="B607" i="11"/>
  <c r="B608" i="11"/>
  <c r="B609" i="11"/>
  <c r="B610" i="11"/>
  <c r="B611" i="11"/>
  <c r="B612" i="11"/>
  <c r="B613" i="11"/>
  <c r="B614" i="11"/>
  <c r="B615" i="11"/>
  <c r="B616" i="11"/>
  <c r="B617" i="11"/>
  <c r="B618" i="11"/>
  <c r="B619" i="11"/>
  <c r="B620" i="11"/>
  <c r="B621" i="11"/>
  <c r="B622" i="11"/>
  <c r="B623" i="11"/>
  <c r="B624" i="11"/>
  <c r="B625" i="11"/>
  <c r="B626" i="11"/>
  <c r="B627" i="11"/>
  <c r="B628" i="11"/>
  <c r="B629" i="11"/>
  <c r="B630" i="11"/>
  <c r="B631" i="11"/>
  <c r="B632" i="11"/>
  <c r="B633" i="11"/>
  <c r="B634" i="11"/>
  <c r="B635" i="11"/>
  <c r="B636" i="11"/>
  <c r="B637" i="11"/>
  <c r="B638" i="11"/>
  <c r="B639" i="11"/>
  <c r="B640" i="11"/>
  <c r="B641" i="11"/>
  <c r="B642" i="11"/>
  <c r="B643" i="11"/>
  <c r="B644" i="11"/>
  <c r="B645" i="11"/>
  <c r="B646" i="11"/>
  <c r="B647" i="11"/>
  <c r="B648" i="11"/>
  <c r="B649" i="11"/>
  <c r="B650" i="11"/>
  <c r="B651" i="11"/>
  <c r="B652" i="11"/>
  <c r="B653" i="11"/>
  <c r="B654" i="11"/>
  <c r="B655" i="11"/>
  <c r="B656" i="11"/>
  <c r="B657" i="11"/>
  <c r="B658" i="11"/>
  <c r="B659" i="11"/>
  <c r="B660" i="11"/>
  <c r="B661" i="11"/>
  <c r="B662" i="11"/>
  <c r="B663" i="11"/>
  <c r="B664" i="11"/>
  <c r="B665" i="11"/>
  <c r="B666" i="11"/>
  <c r="B667" i="11"/>
  <c r="B668" i="11"/>
  <c r="B669" i="11"/>
  <c r="B670" i="11"/>
  <c r="B671" i="11"/>
  <c r="B672" i="11"/>
  <c r="B673" i="11"/>
  <c r="B674" i="11"/>
  <c r="B675" i="11"/>
  <c r="B676" i="11"/>
  <c r="B677" i="11"/>
  <c r="B678" i="11"/>
  <c r="B679" i="11"/>
  <c r="B680" i="11"/>
  <c r="B681" i="11"/>
  <c r="B682" i="11"/>
  <c r="B683" i="11"/>
  <c r="B684" i="11"/>
  <c r="B685" i="11"/>
  <c r="B686" i="11"/>
  <c r="B687" i="11"/>
  <c r="B688" i="11"/>
  <c r="B689" i="11"/>
  <c r="B690" i="11"/>
  <c r="B691" i="11"/>
  <c r="B692" i="11"/>
  <c r="B693" i="11"/>
  <c r="B694" i="11"/>
  <c r="B695" i="11"/>
  <c r="B696" i="11"/>
  <c r="E17" i="5" l="1"/>
  <c r="E16" i="5"/>
  <c r="E15" i="5"/>
  <c r="E14" i="5"/>
  <c r="E13" i="5"/>
  <c r="E12" i="5"/>
  <c r="E11" i="5"/>
  <c r="E10" i="5"/>
  <c r="E9" i="5"/>
  <c r="E8" i="5"/>
  <c r="E7" i="5"/>
  <c r="E6" i="5"/>
  <c r="E21" i="5" s="1"/>
  <c r="E5" i="5"/>
  <c r="E18" i="5" l="1"/>
  <c r="E19" i="5"/>
  <c r="E20" i="5"/>
  <c r="D11" i="4"/>
  <c r="B15" i="4" l="1"/>
  <c r="K4" i="24" l="1"/>
  <c r="J4" i="24"/>
  <c r="D9" i="4" l="1"/>
  <c r="D7" i="4"/>
  <c r="D5" i="4"/>
  <c r="C63" i="4" l="1"/>
</calcChain>
</file>

<file path=xl/sharedStrings.xml><?xml version="1.0" encoding="utf-8"?>
<sst xmlns="http://schemas.openxmlformats.org/spreadsheetml/2006/main" count="10558" uniqueCount="1512">
  <si>
    <t>MSN</t>
  </si>
  <si>
    <t>MODEL</t>
  </si>
  <si>
    <t>CPU</t>
  </si>
  <si>
    <t>1,86 GHz</t>
  </si>
  <si>
    <t xml:space="preserve">HDD </t>
  </si>
  <si>
    <t xml:space="preserve">RAM  </t>
  </si>
  <si>
    <t>2,20 GHz</t>
  </si>
  <si>
    <t>2,40 GHz</t>
  </si>
  <si>
    <t>RODZAJ PANELA</t>
  </si>
  <si>
    <t>NR SWM</t>
  </si>
  <si>
    <t>NON GLARE</t>
  </si>
  <si>
    <t>2,50 GHz</t>
  </si>
  <si>
    <t xml:space="preserve">AMD Temash A4-1200 </t>
  </si>
  <si>
    <t>1,00 GHz</t>
  </si>
  <si>
    <t>1,70 GHz</t>
  </si>
  <si>
    <t>1,60 GHz</t>
  </si>
  <si>
    <t>2,16 GHz</t>
  </si>
  <si>
    <t>40050123 / 40050124</t>
  </si>
  <si>
    <t>40051056 / 40051057</t>
  </si>
  <si>
    <t>1,80 GHz</t>
  </si>
  <si>
    <t>Touch / GLARE</t>
  </si>
  <si>
    <t>Touch / NON GLARE</t>
  </si>
  <si>
    <t>20057492 / 20057493</t>
  </si>
  <si>
    <t>Chip Scan</t>
  </si>
  <si>
    <t>2,40GHz</t>
  </si>
  <si>
    <t>S/N Scan</t>
  </si>
  <si>
    <t>1,58 GHz</t>
  </si>
  <si>
    <t>1,83 GHz</t>
  </si>
  <si>
    <t>20058875 / 20058876</t>
  </si>
  <si>
    <t>20059074 / 20058696</t>
  </si>
  <si>
    <t>20059560 / 20058874</t>
  </si>
  <si>
    <t>40051741 / 40051742</t>
  </si>
  <si>
    <t>1,83 Ghz</t>
  </si>
  <si>
    <t>20060089 / 20060090</t>
  </si>
  <si>
    <t>20059775 / 20059776</t>
  </si>
  <si>
    <t>1,83 GHZ</t>
  </si>
  <si>
    <t>1,90 GHz</t>
  </si>
  <si>
    <t>2,10 GHz</t>
  </si>
  <si>
    <t>20057830 lub 20057819</t>
  </si>
  <si>
    <t>20057923 / 20057801</t>
  </si>
  <si>
    <t>brak licencji office</t>
  </si>
  <si>
    <t>HDD</t>
  </si>
  <si>
    <t>20058321 / 20058322</t>
  </si>
  <si>
    <t>HDD / RECOVER</t>
  </si>
  <si>
    <t>HDD, SSD skasować</t>
  </si>
  <si>
    <t>Licencja Office 8.1</t>
  </si>
  <si>
    <t>Licencja Office 8.0</t>
  </si>
  <si>
    <t>test PU9</t>
  </si>
  <si>
    <t>Test akku, Fimware SATA dock</t>
  </si>
  <si>
    <t>WSKAZOWKI</t>
  </si>
  <si>
    <t>info IMAGE</t>
  </si>
  <si>
    <t>brak Licencja Office 8.1</t>
  </si>
  <si>
    <t>2,60 GHz</t>
  </si>
  <si>
    <t>1,33 GHz</t>
  </si>
  <si>
    <t>20058565/20058564</t>
  </si>
  <si>
    <t>2,16,GHz</t>
  </si>
  <si>
    <t>20060249 / 20060250</t>
  </si>
  <si>
    <t>zostawic pusty SLOT DVD/AKKU!!</t>
  </si>
  <si>
    <t>GLARE</t>
  </si>
  <si>
    <t>BACK COVER AKOYA!!!</t>
  </si>
  <si>
    <t>BACK COVER MEDION!!!</t>
  </si>
  <si>
    <t>20060251 / 20060252</t>
  </si>
  <si>
    <t>2,70 GHz</t>
  </si>
  <si>
    <t>20058127 / 20058128</t>
  </si>
  <si>
    <t>Recovery puszczane z ustawien systemu/ Tylko słuchawki!!!</t>
  </si>
  <si>
    <t>BIOS!!!</t>
  </si>
  <si>
    <t>1,70 Ghz</t>
  </si>
  <si>
    <t>2,30 Ghz</t>
  </si>
  <si>
    <t>20058102/20058103</t>
  </si>
  <si>
    <t>Test akku / Fimware SATA dock /  Recovery z ustawien systemu</t>
  </si>
  <si>
    <t>2,30 GHz</t>
  </si>
  <si>
    <t>WTAB PEAQ E1233T WIN MD99098NL Ref</t>
  </si>
  <si>
    <t>CNB PEAQ P2213T MD99188 NL Ref</t>
  </si>
  <si>
    <t>Pendrive</t>
  </si>
  <si>
    <t>KB - NL, po testach recovery z pod system</t>
  </si>
  <si>
    <t>NB PEAQ P2213T 2IN1 MD99097 NL Ref</t>
  </si>
  <si>
    <t>NB PEAQ P2213T 2IN1 MD99096 NL Ref</t>
  </si>
  <si>
    <t>STARY MSN</t>
  </si>
  <si>
    <t>20058983 / 20058984</t>
  </si>
  <si>
    <t>KB - NL</t>
  </si>
  <si>
    <t>2,2, GHz</t>
  </si>
  <si>
    <t>20060080 / 20060082</t>
  </si>
  <si>
    <t>20059355/ 20059356</t>
  </si>
  <si>
    <t>Model</t>
  </si>
  <si>
    <t>1,9 GHz</t>
  </si>
  <si>
    <t>NB S6217 GOLF PEAG MD99091 NL Ref</t>
  </si>
  <si>
    <t>NB E6419 PEAQ MD99094 NL Ref</t>
  </si>
  <si>
    <t xml:space="preserve">KB - NL </t>
  </si>
  <si>
    <t>2.16 GHz</t>
  </si>
  <si>
    <t>SSD 128 GB</t>
  </si>
  <si>
    <t>0,80 - 2.0 GHz</t>
  </si>
  <si>
    <t>NB S6417 GOLF PEAQ MD99092 NL Ref</t>
  </si>
  <si>
    <t>1,6 GHz</t>
  </si>
  <si>
    <t>2,6 GHz</t>
  </si>
  <si>
    <t>2,90 Ghz</t>
  </si>
  <si>
    <t>2,70 Ghz</t>
  </si>
  <si>
    <t>Google Chrome OS</t>
  </si>
  <si>
    <t>Przywracamy oryginalny</t>
  </si>
  <si>
    <t xml:space="preserve">0,9 GHz </t>
  </si>
  <si>
    <t>F11 lub Recovery spod Windows - wpisać powerRecover</t>
  </si>
  <si>
    <t>2,00 Ghz</t>
  </si>
  <si>
    <t>2,4 Ghz</t>
  </si>
  <si>
    <t>2,90 GHz</t>
  </si>
  <si>
    <t>NB P6515 Peaq MD99093 NL REF</t>
  </si>
  <si>
    <t>CNB PEAQ PMM C1008 - I01NL MD99336 REF</t>
  </si>
  <si>
    <t>NB PEAQ PNB P1115 MD99671 NL REF</t>
  </si>
  <si>
    <t>NB PEAQ P1115 ALU MD99672 CH REF</t>
  </si>
  <si>
    <t>NB PEAQ PNB C1011 MD99674 CH REF</t>
  </si>
  <si>
    <t>2,0 GHz</t>
  </si>
  <si>
    <t>2,3 Ghz</t>
  </si>
  <si>
    <t>2,2 Ghz</t>
  </si>
  <si>
    <t>KB -BE</t>
  </si>
  <si>
    <t>KB - CH</t>
  </si>
  <si>
    <t>2,0 Ghz</t>
  </si>
  <si>
    <t>KB -NL</t>
  </si>
  <si>
    <t>NON GLARE?</t>
  </si>
  <si>
    <t>KB -CH</t>
  </si>
  <si>
    <t>NON GLARE ?</t>
  </si>
  <si>
    <t>NUMER SWM</t>
  </si>
  <si>
    <t>NAZWA MODELU</t>
  </si>
  <si>
    <t>PEAQ stary msn</t>
  </si>
  <si>
    <t>WSKAZÓWKI</t>
  </si>
  <si>
    <t xml:space="preserve">RAM </t>
  </si>
  <si>
    <t>KOLOR</t>
  </si>
  <si>
    <t>0,90 - 2.4 GHz</t>
  </si>
  <si>
    <t>CNB PEAQ P1211T PMMC1010-I01B3 MD60011BE ref</t>
  </si>
  <si>
    <t>KB NL</t>
  </si>
  <si>
    <t>NB PEAQ PNB P1115 - I7NL ALU MD99198 NL ref</t>
  </si>
  <si>
    <t>Etykiety wierszy</t>
  </si>
  <si>
    <t>(puste)</t>
  </si>
  <si>
    <t>Suma końcowa</t>
  </si>
  <si>
    <t>NB PEAQ S6219 PNB S1415-I2N1S MD60017 NL REF</t>
  </si>
  <si>
    <t>CNB PEAQ PMM C1010 - I01B2 MD99818 BE REF</t>
  </si>
  <si>
    <t>CNB PEAQ P1211T PMMC1010–I02N3 MD99909NL REF</t>
  </si>
  <si>
    <t>NB PEAQ P6663 PNB P2015-I5N1 MD60021 NL REF</t>
  </si>
  <si>
    <t>NB PEAQ E6425 PNB C2015-I5N1 MD60019 NL REF</t>
  </si>
  <si>
    <t>KB -  NL</t>
  </si>
  <si>
    <t>Stary MSN</t>
  </si>
  <si>
    <t>Bezeichnung</t>
  </si>
  <si>
    <t>MSN Mainboards</t>
  </si>
  <si>
    <t>Nazwa</t>
  </si>
  <si>
    <t>Producent</t>
  </si>
  <si>
    <t>BIOSVersion 040417</t>
  </si>
  <si>
    <t>NB PEAQ P2213T 2IN1 MD99096 NL Ref (not w/o)</t>
  </si>
  <si>
    <t>NBC MB 2G/N2840/64G PG T11M</t>
  </si>
  <si>
    <t>PG</t>
  </si>
  <si>
    <t>BIOS: 707; firmware: HDD&amp;DOCK(204); W urządzeniu powinien być ustawiony shipping mode Akku.</t>
  </si>
  <si>
    <t>NB S6417 GOLF PEAQ MD99092 NL Ref (not w/o)</t>
  </si>
  <si>
    <t>NBC Mainboard 4GB IVT Golf 2.0</t>
  </si>
  <si>
    <t>IVT</t>
  </si>
  <si>
    <t xml:space="preserve">MB IVT Golf 2.0: BIOS for WINDOWS 8: 405R, for WINDOWS 10: 412R </t>
  </si>
  <si>
    <t>NB PEAQ P2213T 2IN1 MD99097 NL Ref (not w/o)</t>
  </si>
  <si>
    <t>NBC MB 4G/N3540/64G PG T11M</t>
  </si>
  <si>
    <t>NB P6515 PEAG MD99093 NL Ref (not w/o)</t>
  </si>
  <si>
    <t>NBC Mainboard i5-5200U 6GB IVT Polo</t>
  </si>
  <si>
    <t>MB IVT Pol: Win8 BIOS: 130,  !!!  Win10 BIOS: 180.</t>
  </si>
  <si>
    <t>WTAB PEAQ E1233T WIN MD99098NL Ref (not w/o)</t>
  </si>
  <si>
    <t>TAB Mainboard 2G 16GB BIT E123xT</t>
  </si>
  <si>
    <t>BIT</t>
  </si>
  <si>
    <t>B5CN81WW(V8.1&amp;V1.4) PEAQ</t>
  </si>
  <si>
    <t>NB E6419 PEAQ MD99094 NL Ref (not w/o)</t>
  </si>
  <si>
    <t>NBC Mainboard 3805U 6GB IVT Polo</t>
  </si>
  <si>
    <t>WTAB PEAQ PMM C1008 I01NL MD99186 Ref (not w/o)</t>
  </si>
  <si>
    <t>NBC Mainboard 32G TF WMBT893</t>
  </si>
  <si>
    <t>TF</t>
  </si>
  <si>
    <t>BIOS: 103;  EC 10301</t>
  </si>
  <si>
    <t>WTAB PEAQ PMM C1010 I01NL MD99187 Ref (not w/o)</t>
  </si>
  <si>
    <t>NBC Mainboard 32G TF WMBT1031</t>
  </si>
  <si>
    <t>BIOS 1.03 EC 10301</t>
  </si>
  <si>
    <t>CNB PEAQ P2213T MD99188 NL Ref (not w/o)</t>
  </si>
  <si>
    <t>NBC Mainboard N3540 32G PG T11M</t>
  </si>
  <si>
    <t>NB PEAQ PNBP1115I2NL ALU MD99191NL Ref (not w/o)</t>
  </si>
  <si>
    <t>NBC Mainboard 3805U 6GB V2 IVT Polo</t>
  </si>
  <si>
    <t xml:space="preserve">MB IVT Pol: Win8 BIOS: 130,  !!!  Win10 BIOS: 180. </t>
  </si>
  <si>
    <t>NB PEAQ PNB S1015 I2NL MD99193 NL Ref (not w/o)</t>
  </si>
  <si>
    <t>NBC Mainboard 4GB V4 IVT Golf 2.0</t>
  </si>
  <si>
    <t>CNB PEAQPNBS1115IMNL ALU MD99194NL Ref (not w/o)</t>
  </si>
  <si>
    <t>NB PEAQPNB1115 I5NL ALURSMD99197NL Ref (not w/o)</t>
  </si>
  <si>
    <t>NBC Mainboard i5-5200U IVT Polo</t>
  </si>
  <si>
    <t>NB PEAQ S1115-IMCH ALU MD99298 REF (not w/o)</t>
  </si>
  <si>
    <t>MB IVT Golf 2.0: BIOS for WINDOWS 8: 405R, for WINDOWS 10: 412R</t>
  </si>
  <si>
    <t>NB PEAQ P1115 I5CH ALU MD99291 REF (not w/o)</t>
  </si>
  <si>
    <t>NBC Mainboard i5-5200U V3 IVT Polo</t>
  </si>
  <si>
    <t>NB PEAQ C1017 I2CH MD99306 REF (not w/o)</t>
  </si>
  <si>
    <t>NBC Mainboard 3805U V2 PG D17D</t>
  </si>
  <si>
    <t>MB PG D17D: BIOS: 703</t>
  </si>
  <si>
    <t>NB PEAQ P1017 I5CH MD99307 REF (not w/o)</t>
  </si>
  <si>
    <t>NBC Mainboard I5-5200U PG D17D</t>
  </si>
  <si>
    <t xml:space="preserve">MB PG D17D: BIOS: 703 </t>
  </si>
  <si>
    <t>NB PEAQ P1117 I7CH MD99309 REF (not w/o)</t>
  </si>
  <si>
    <t>NBC Mainboard I7-5500U V3 PG D17D</t>
  </si>
  <si>
    <t>NB PEAQ PNB C1014 I1NL MD99338 Ref (not w/o)</t>
  </si>
  <si>
    <t>NBC Mainboard N2940 TF NDBT1401</t>
  </si>
  <si>
    <t>MB TF NDBT1401: BIOS: 1.03; EC: 1.04.80</t>
  </si>
  <si>
    <t>CNB PEAQ PMM C1010 - I01NL MD99337 REF (not w/o)</t>
  </si>
  <si>
    <t>NBC Mainboard 64G TF WMBT1031</t>
  </si>
  <si>
    <t>CNB PEAQ PMM C1008 - I01NL MD99336 REF (not w/o)</t>
  </si>
  <si>
    <t>NBC Mainboard 64G TF WMBT893</t>
  </si>
  <si>
    <t>NB PEAQPNB P1115 I7NL ALURS 99344NL REF (not w/o)</t>
  </si>
  <si>
    <t>NBC Mainboard i7-5500U V3 IVT Polo</t>
  </si>
  <si>
    <t>NB PEAQ PNBP1115 I5NL ALURS MD99343 REF (not w/o)</t>
  </si>
  <si>
    <t>NB PEAQ PNB S1015 - I2NL MD99339 REF (not w/o)</t>
  </si>
  <si>
    <t>NB PEAQ ONB S1115 IM2N ALU MD99341 REF (not w/o)</t>
  </si>
  <si>
    <t>NBC Mainboard 4GB V2 IVT Golf 2.0</t>
  </si>
  <si>
    <t>NB PEAQ PNB C1015 I2N2 MD99342NL Ref (not w/o)</t>
  </si>
  <si>
    <t>NB PEAQ PNB C1011 I0N1 MD99439 NL Ref (not w/o)</t>
  </si>
  <si>
    <t>NBC MAINBOARD 64G Z3735F V2 ECS EF20</t>
  </si>
  <si>
    <t>ECS</t>
  </si>
  <si>
    <t>MB ECS EF20: BIOS W10: 1.00.12.MN, W8.1: 1.00.01.MN for Basis: S221x</t>
  </si>
  <si>
    <t>NB PEAQ ONB C1014 I1B1 MD99447 BE Ref (not w/o)</t>
  </si>
  <si>
    <t>CNB PEAQ PMM C1010 I01B1 MD99446 BE REF (not w/o)</t>
  </si>
  <si>
    <t>CNB PEAQ PMM C1008 I01B1 MD99442BE Ref (not w/o)</t>
  </si>
  <si>
    <t>NB PEAQ ONBP1115 I5B1 ALU MD99448BE REF (not w/o)</t>
  </si>
  <si>
    <t>NB PEAQ PNB C1015 I5B1 MD99469 BE REF (not w/o)</t>
  </si>
  <si>
    <t>NBC Mainboard i5-5200U V2 IVT Polo</t>
  </si>
  <si>
    <t>NB PEAQ PNBP1115 I7B1 ALURS 99468BE REF (not w/o)</t>
  </si>
  <si>
    <t>NB PEAQ PNB P1017 I5B1 MD99467 BE REF (not w/o)</t>
  </si>
  <si>
    <t>NB PEAQ PNB P1117 I7B1 MD99464BE REF (not w/o)</t>
  </si>
  <si>
    <t>NB PEAQ S3403 MD99523 NL REF (not w/o)</t>
  </si>
  <si>
    <t>NBC Mainboard MS-13D1</t>
  </si>
  <si>
    <t>MSI</t>
  </si>
  <si>
    <t>BIOS ver.: V0004</t>
  </si>
  <si>
    <t>NB PEAQ P1115 ALU MD99672 CH REF (not w/o)</t>
  </si>
  <si>
    <t>NBC Mainboard i3-5020U IVT POLO</t>
  </si>
  <si>
    <t>NB PEAQ PNB P2017–I7C1 MD99673 CH REF (not w/o)</t>
  </si>
  <si>
    <t>NBC Mainboard 6500U V3 PG D17S</t>
  </si>
  <si>
    <t>MB PG D17S: BIOS: 218</t>
  </si>
  <si>
    <t>NB PEAQ S6217 Golf MD99639NLPNBS1015 REF (not w/o)</t>
  </si>
  <si>
    <t>NB PEAQ PNB P1115 MD99671 NL REF (not w/o)</t>
  </si>
  <si>
    <t>NBC Mainboard i5-5005U IVT Polo</t>
  </si>
  <si>
    <t>NB PEAQ PNB C1011 MD99674 CH REF (not w/o)</t>
  </si>
  <si>
    <t>NB PEAQ MD99688 NL Ref (not w/o)</t>
  </si>
  <si>
    <t>NBC Mainboard 3825U IVT Polo</t>
  </si>
  <si>
    <t>NB PEAQ PNB C1015-I3C1 MD99684 CH REF (not w/o)</t>
  </si>
  <si>
    <t>NB E6419 C1015-I2N4 ALUMD99799PEAQNL REF (not w/o)</t>
  </si>
  <si>
    <t>NBC Mainboard N3700 4G TF NSBW1402</t>
  </si>
  <si>
    <t>BIOS ver.: 1.52; EC ver.: 1.15.80</t>
  </si>
  <si>
    <t>NBC Mainboard I5 LS ECS Polo 2</t>
  </si>
  <si>
    <t>NBC Mainboard I5 LU ECS Polo 2</t>
  </si>
  <si>
    <t>NBC Mainboard i7-5500U 8GB IVT Polo</t>
  </si>
  <si>
    <t>BIOS</t>
  </si>
  <si>
    <t>NBC Mainboard 4GB V4 IVT Golf</t>
  </si>
  <si>
    <t>MB IVT Golf: BIOS for WINDOWS 8 : 404R, for WINDOWS 10:  412R</t>
  </si>
  <si>
    <t>CapsuleUpd.bat - BIOS ver.: MA50Lx_V1.06; EC: 1.04.00</t>
  </si>
  <si>
    <t xml:space="preserve">CapsuleUpd.bat  - BIOS ver.: MA50Lx_V1.06; EC: 1.04.00 </t>
  </si>
  <si>
    <t>CNB PEAQ E2215T PNB T2011 MD60223 NL REF</t>
  </si>
  <si>
    <t>1,44 - 1,92 Ghz</t>
  </si>
  <si>
    <t>NBC Mainboard 2G 64G EMD NT16H</t>
  </si>
  <si>
    <t>EMD</t>
  </si>
  <si>
    <t xml:space="preserve">Bios V.5.0.11 </t>
  </si>
  <si>
    <t>NB PEAQ P6663 PNB P2015-I7N1 MD60022 NL REF</t>
  </si>
  <si>
    <t>NBC Mainboard I7 LS ECS Polo 2</t>
  </si>
  <si>
    <t>CNB PEAQ P2213T PMMP1011–I12N1 MD99911NL REF</t>
  </si>
  <si>
    <t>1,83 -2,25 GHz</t>
  </si>
  <si>
    <t>NBC MB 2G/N2940/64G PG T11M</t>
  </si>
  <si>
    <t>Shipping mode</t>
  </si>
  <si>
    <t>Problem zawiasów - wymiana obowiązkowa</t>
  </si>
  <si>
    <t>info NAPRAWA</t>
  </si>
  <si>
    <t>aa</t>
  </si>
  <si>
    <t>problem z kamerą</t>
  </si>
  <si>
    <t>nieprawidłowa data</t>
  </si>
  <si>
    <t>błąd w sterownikach</t>
  </si>
  <si>
    <t>nie działa dioda od blokady KB</t>
  </si>
  <si>
    <t>nieprawidłowy image</t>
  </si>
  <si>
    <t xml:space="preserve">problem z kamerą </t>
  </si>
  <si>
    <t xml:space="preserve">30022661
</t>
  </si>
  <si>
    <t>nie działa touchpad</t>
  </si>
  <si>
    <t>zawiasy uszk.</t>
  </si>
  <si>
    <t xml:space="preserve">
30021765
</t>
  </si>
  <si>
    <t>nieprawidłowy dysk</t>
  </si>
  <si>
    <t xml:space="preserve"> nieprawidłowy bios</t>
  </si>
  <si>
    <t>zanik pracy stac.dok</t>
  </si>
  <si>
    <t>uszkodzony dysk</t>
  </si>
  <si>
    <t>uszkodzone gniazdo</t>
  </si>
  <si>
    <t>uszkodzona MB</t>
  </si>
  <si>
    <t xml:space="preserve">  niepraw.image</t>
  </si>
  <si>
    <t xml:space="preserve">nieprawidłowa data </t>
  </si>
  <si>
    <t xml:space="preserve">30021078
</t>
  </si>
  <si>
    <t xml:space="preserve">pixel </t>
  </si>
  <si>
    <t>zanik kursora w trakcie testów - podz</t>
  </si>
  <si>
    <t>nieprawidłowy bios</t>
  </si>
  <si>
    <t xml:space="preserve">
30022661
</t>
  </si>
  <si>
    <t>securite boot</t>
  </si>
  <si>
    <t>problem z ładowaniem</t>
  </si>
  <si>
    <t>brak dockingu</t>
  </si>
  <si>
    <t>uszkodzony pongo-piny</t>
  </si>
  <si>
    <t>pixel</t>
  </si>
  <si>
    <t>wear level &gt; 12%</t>
  </si>
  <si>
    <t>nie działa mikrofon</t>
  </si>
  <si>
    <t>brud pod lcd</t>
  </si>
  <si>
    <t>nieprawidłowa wersja bios</t>
  </si>
  <si>
    <t>brak stickera z procesore</t>
  </si>
  <si>
    <t>odbarwienie na c+</t>
  </si>
  <si>
    <t xml:space="preserve">30023093
</t>
  </si>
  <si>
    <t>uszkodzona akku</t>
  </si>
  <si>
    <t xml:space="preserve">nie działa czytnik micro sd </t>
  </si>
  <si>
    <t xml:space="preserve">MB - grafika </t>
  </si>
  <si>
    <t>1)nieprawidłowy bios  2)securite boot</t>
  </si>
  <si>
    <t>brak magnesów trzymających stac.dok.</t>
  </si>
  <si>
    <t>nie zdjęta naklejka energy star</t>
  </si>
  <si>
    <t>nieprawidłowy procesor</t>
  </si>
  <si>
    <t>niezgodność s/n: stac.dok.-tablet</t>
  </si>
  <si>
    <t>nie działają głośniki</t>
  </si>
  <si>
    <t>nie włączono shipping mode</t>
  </si>
  <si>
    <t>karta graficzna</t>
  </si>
  <si>
    <t>zawiesza się touchpad</t>
  </si>
  <si>
    <t>rysa-plama</t>
  </si>
  <si>
    <t>nieprawidłowa KB</t>
  </si>
  <si>
    <t>uszkodzony mechanizm connect</t>
  </si>
  <si>
    <t>problem z recovery - podz</t>
  </si>
  <si>
    <t xml:space="preserve">brak kamery </t>
  </si>
  <si>
    <t xml:space="preserve">rusza się KB </t>
  </si>
  <si>
    <t>nie trzyma bateria na biosie</t>
  </si>
  <si>
    <t xml:space="preserve">Pęknięta obudowa </t>
  </si>
  <si>
    <t>boot manager x 5 w biosie</t>
  </si>
  <si>
    <t>grafika</t>
  </si>
  <si>
    <t xml:space="preserve">30023094
</t>
  </si>
  <si>
    <t>prawidłowa KB  2</t>
  </si>
  <si>
    <t>pixel+plama na c+</t>
  </si>
  <si>
    <t xml:space="preserve">defekty </t>
  </si>
  <si>
    <t>Instalacja - Noiseoff Sponge D15 /Shipping mode</t>
  </si>
  <si>
    <t>Firmware SATA SSD!! (Obowiazkowo)</t>
  </si>
  <si>
    <t>Firmware SATA SSD!! (Obowiazkowo) / Shipping mode</t>
  </si>
  <si>
    <t>pisać pełny numer modelu, UWAGA 60019</t>
  </si>
  <si>
    <t>2,3-2,8 GHz</t>
  </si>
  <si>
    <t>(Shipping mode)</t>
  </si>
  <si>
    <t>16 GB</t>
  </si>
  <si>
    <t>shipping mode</t>
  </si>
  <si>
    <t>Touch</t>
  </si>
  <si>
    <t>2 GB</t>
  </si>
  <si>
    <t>8 GB</t>
  </si>
  <si>
    <t>Shipping mode (F13K)</t>
  </si>
  <si>
    <t>4 GB</t>
  </si>
  <si>
    <t>i3-6100U</t>
  </si>
  <si>
    <t>Win 10</t>
  </si>
  <si>
    <t>Matowy</t>
  </si>
  <si>
    <t>6 GB</t>
  </si>
  <si>
    <t>i3-5005U</t>
  </si>
  <si>
    <t>2 Ghz</t>
  </si>
  <si>
    <t>KB - BE</t>
  </si>
  <si>
    <t>celeron N3050</t>
  </si>
  <si>
    <t>1,6 - 2,16 Ghz</t>
  </si>
  <si>
    <t>i5-6200U</t>
  </si>
  <si>
    <t>Celeron N3150</t>
  </si>
  <si>
    <t>1,6-2,08 Ghz</t>
  </si>
  <si>
    <t>Kb - BE</t>
  </si>
  <si>
    <t>30023449, 30023812, 30023813</t>
  </si>
  <si>
    <t>2 Gb</t>
  </si>
  <si>
    <t>Atom Z3735F</t>
  </si>
  <si>
    <t>1,33-1,83 Ghz</t>
  </si>
  <si>
    <t>KB - BE, Sponge/Poron, Shipping Mode</t>
  </si>
  <si>
    <t>Pentium 4405U</t>
  </si>
  <si>
    <t>Sticker WINDOWS 8, BACK COVER AKOYA!!!  Shipping mode. (T15)</t>
  </si>
  <si>
    <t>KB - BE, HINGE</t>
  </si>
  <si>
    <t>Atom X5-Z8350</t>
  </si>
  <si>
    <t>i5-7200u</t>
  </si>
  <si>
    <t>2,5-3,1 Ghz</t>
  </si>
  <si>
    <t>Shipping mode (D17K), Touchpad firmaware.</t>
  </si>
  <si>
    <t>i7-5500U</t>
  </si>
  <si>
    <t>KB - BE,  Wymiana zawiasów.</t>
  </si>
  <si>
    <t>HR-116E</t>
  </si>
  <si>
    <t>S2015</t>
  </si>
  <si>
    <t>E1239T</t>
  </si>
  <si>
    <t xml:space="preserve">S2013 </t>
  </si>
  <si>
    <t>HR-116R</t>
  </si>
  <si>
    <t xml:space="preserve"> E1240T</t>
  </si>
  <si>
    <t xml:space="preserve"> E1239T</t>
  </si>
  <si>
    <t>NT16H</t>
  </si>
  <si>
    <t>E2215T</t>
  </si>
  <si>
    <t>E1317T</t>
  </si>
  <si>
    <t>H90T</t>
  </si>
  <si>
    <t xml:space="preserve"> H90T</t>
  </si>
  <si>
    <t>E1231T</t>
  </si>
  <si>
    <t>P2213T</t>
  </si>
  <si>
    <t>T11M</t>
  </si>
  <si>
    <t xml:space="preserve"> P2213T</t>
  </si>
  <si>
    <t>P2211T</t>
  </si>
  <si>
    <t>TZ20</t>
  </si>
  <si>
    <t>E1318T</t>
  </si>
  <si>
    <t>P2214T</t>
  </si>
  <si>
    <t>P2212T</t>
  </si>
  <si>
    <t>P6661</t>
  </si>
  <si>
    <t>E15S</t>
  </si>
  <si>
    <t>F13K</t>
  </si>
  <si>
    <t>Wingman</t>
  </si>
  <si>
    <t>E15K</t>
  </si>
  <si>
    <t>D15S</t>
  </si>
  <si>
    <t>S3409</t>
  </si>
  <si>
    <t>S6219</t>
  </si>
  <si>
    <t>E1235T</t>
  </si>
  <si>
    <t xml:space="preserve"> D15D</t>
  </si>
  <si>
    <t>E6416</t>
  </si>
  <si>
    <t>E2214</t>
  </si>
  <si>
    <t>SF20</t>
  </si>
  <si>
    <t>E2218T</t>
  </si>
  <si>
    <t>E1232T</t>
  </si>
  <si>
    <t>Inventec</t>
  </si>
  <si>
    <t>Skoda</t>
  </si>
  <si>
    <t>S2217</t>
  </si>
  <si>
    <t>EF20</t>
  </si>
  <si>
    <t>S2218</t>
  </si>
  <si>
    <t>MAL</t>
  </si>
  <si>
    <t>S2013</t>
  </si>
  <si>
    <t>Hai</t>
  </si>
  <si>
    <t>E2212T</t>
  </si>
  <si>
    <t>WMBT1122</t>
  </si>
  <si>
    <t>Tongfang</t>
  </si>
  <si>
    <t>E2211T</t>
  </si>
  <si>
    <t>E1240T</t>
  </si>
  <si>
    <t>E2216T</t>
  </si>
  <si>
    <t>S4220</t>
  </si>
  <si>
    <t>S4219</t>
  </si>
  <si>
    <t>Pegatron</t>
  </si>
  <si>
    <t>S4214</t>
  </si>
  <si>
    <t>B34YA</t>
  </si>
  <si>
    <t>E4213</t>
  </si>
  <si>
    <t>NDBT1401</t>
  </si>
  <si>
    <t>E4214</t>
  </si>
  <si>
    <t>E7424</t>
  </si>
  <si>
    <t>D17K</t>
  </si>
  <si>
    <t>E6421</t>
  </si>
  <si>
    <t>E6415</t>
  </si>
  <si>
    <t>D15D</t>
  </si>
  <si>
    <t>E6237</t>
  </si>
  <si>
    <t>S6213T</t>
  </si>
  <si>
    <t>T15M</t>
  </si>
  <si>
    <t>E6239</t>
  </si>
  <si>
    <t>C15M</t>
  </si>
  <si>
    <t>S6413T</t>
  </si>
  <si>
    <t>T15B</t>
  </si>
  <si>
    <t>E6232</t>
  </si>
  <si>
    <t>M52U1</t>
  </si>
  <si>
    <t>Wistron</t>
  </si>
  <si>
    <t>E6234</t>
  </si>
  <si>
    <t>A15YA</t>
  </si>
  <si>
    <t>P6638</t>
  </si>
  <si>
    <t>A35FF</t>
  </si>
  <si>
    <t>P6640</t>
  </si>
  <si>
    <t>M52P1</t>
  </si>
  <si>
    <t>S6212T</t>
  </si>
  <si>
    <t>US55II1</t>
  </si>
  <si>
    <t>E6240T</t>
  </si>
  <si>
    <t>E6240</t>
  </si>
  <si>
    <t xml:space="preserve"> D15</t>
  </si>
  <si>
    <t>E6412T</t>
  </si>
  <si>
    <t>S6214T</t>
  </si>
  <si>
    <t>D15</t>
  </si>
  <si>
    <t>P6648</t>
  </si>
  <si>
    <t>C15B</t>
  </si>
  <si>
    <t>S6417</t>
  </si>
  <si>
    <t>Golf</t>
  </si>
  <si>
    <t>P6656</t>
  </si>
  <si>
    <t>E6418</t>
  </si>
  <si>
    <t>E6422</t>
  </si>
  <si>
    <t>P6660</t>
  </si>
  <si>
    <t>E6424</t>
  </si>
  <si>
    <t>P6659</t>
  </si>
  <si>
    <t>E6430</t>
  </si>
  <si>
    <t>P6670</t>
  </si>
  <si>
    <t>E6432</t>
  </si>
  <si>
    <t>P7643</t>
  </si>
  <si>
    <t>D17S</t>
  </si>
  <si>
    <t>E7419</t>
  </si>
  <si>
    <t>P7641</t>
  </si>
  <si>
    <t>E7421</t>
  </si>
  <si>
    <t>P7816</t>
  </si>
  <si>
    <t>A17FG</t>
  </si>
  <si>
    <t>E7227</t>
  </si>
  <si>
    <t>C17B</t>
  </si>
  <si>
    <t>P7818</t>
  </si>
  <si>
    <t>A17JA</t>
  </si>
  <si>
    <t>X7820</t>
  </si>
  <si>
    <t>MS-1762</t>
  </si>
  <si>
    <t>E7222</t>
  </si>
  <si>
    <t>P7628</t>
  </si>
  <si>
    <t>X7826</t>
  </si>
  <si>
    <t>E7226T</t>
  </si>
  <si>
    <t>C17M</t>
  </si>
  <si>
    <t>E7226</t>
  </si>
  <si>
    <t>E7420</t>
  </si>
  <si>
    <t>D17</t>
  </si>
  <si>
    <t>E7416</t>
  </si>
  <si>
    <t>D17D</t>
  </si>
  <si>
    <t>E7416T</t>
  </si>
  <si>
    <t>P7632</t>
  </si>
  <si>
    <t>X7830</t>
  </si>
  <si>
    <t>MS-1763</t>
  </si>
  <si>
    <t>P7644</t>
  </si>
  <si>
    <t>X7842</t>
  </si>
  <si>
    <t>Clevo</t>
  </si>
  <si>
    <t>P7637</t>
  </si>
  <si>
    <t>E7422</t>
  </si>
  <si>
    <t>P7648</t>
  </si>
  <si>
    <t>E1234T</t>
  </si>
  <si>
    <t>E123xT</t>
  </si>
  <si>
    <t>S1219T</t>
  </si>
  <si>
    <t>M1042</t>
  </si>
  <si>
    <t>CZC</t>
  </si>
  <si>
    <t>E8201T</t>
  </si>
  <si>
    <t>I8880</t>
  </si>
  <si>
    <t>E7423</t>
  </si>
  <si>
    <t>E6435</t>
  </si>
  <si>
    <t>E2228T</t>
  </si>
  <si>
    <t>P7639</t>
  </si>
  <si>
    <t xml:space="preserve"> E1235T</t>
  </si>
  <si>
    <t xml:space="preserve"> NT16H</t>
  </si>
  <si>
    <t>Shipping</t>
  </si>
  <si>
    <t>Emdoor</t>
  </si>
  <si>
    <t>Bitland</t>
  </si>
  <si>
    <t>Tak</t>
  </si>
  <si>
    <t>Model obudowy</t>
  </si>
  <si>
    <t>celeron N3160</t>
  </si>
  <si>
    <t>Bios spod EFI. Pliki EFI u lidera. (E15K)  Touchpad firmaware</t>
  </si>
  <si>
    <t>Shipping mode,  Touchpad firmaware</t>
  </si>
  <si>
    <t>99850M</t>
  </si>
  <si>
    <t>Firmware SATA SSD!! (Obowiazkowo) Sponge/Poron</t>
  </si>
  <si>
    <t>E2221T</t>
  </si>
  <si>
    <t>i7-6500U</t>
  </si>
  <si>
    <t>KB - Be</t>
  </si>
  <si>
    <t>i3-7100U</t>
  </si>
  <si>
    <t>Touchpad firmware</t>
  </si>
  <si>
    <t>i3-6157U</t>
  </si>
  <si>
    <t>P6669</t>
  </si>
  <si>
    <t>i7-7500U</t>
  </si>
  <si>
    <t>P7645</t>
  </si>
  <si>
    <t xml:space="preserve">8 GB </t>
  </si>
  <si>
    <t>Pentium N3710</t>
  </si>
  <si>
    <t>1,6 Ghz</t>
  </si>
  <si>
    <t>20062823/20062416</t>
  </si>
  <si>
    <t>Substytut SSD 256 GB</t>
  </si>
  <si>
    <t>PEAQ</t>
  </si>
  <si>
    <t>Nowe MB magą się nie włączać dopóki nie poklika się kila razy we włącznik.</t>
  </si>
  <si>
    <t>Klawiatura Hiszpańska/ Inne klawiatury na ks i abverkauf. Nowe MB magą się nie włączać dopóki nie poklika się kila razy we włącznik.</t>
  </si>
  <si>
    <t>Nowe MB magą się nie włączać dopóki nie poklika się kila razy we włącznik.  EC</t>
  </si>
  <si>
    <t>Shipping mode,  Touchpad firmaware, Substytut SSD 256 GB</t>
  </si>
  <si>
    <t>Firmware SATA SSD!! (Obowiazkowo) , Substytut SSD 256 GB</t>
  </si>
  <si>
    <t>i7-6700HQ</t>
  </si>
  <si>
    <t>20061354/1355</t>
  </si>
  <si>
    <t>BIOS: Najpierw odpalić Wmset, Potem z konsoli amin. Flashmewinx64.</t>
  </si>
  <si>
    <t>x7841</t>
  </si>
  <si>
    <t>Celeron N3050</t>
  </si>
  <si>
    <t>Celeron N3060</t>
  </si>
  <si>
    <t>EC</t>
  </si>
  <si>
    <t>2,7-3,5 Ghz</t>
  </si>
  <si>
    <t>tp firmware</t>
  </si>
  <si>
    <t>P6432</t>
  </si>
  <si>
    <t>i3-7167U</t>
  </si>
  <si>
    <t>2,8 Ghz</t>
  </si>
  <si>
    <t>tp firmware, img aldi</t>
  </si>
  <si>
    <t>P7402</t>
  </si>
  <si>
    <t>P6679</t>
  </si>
  <si>
    <t>D15K</t>
  </si>
  <si>
    <t>tp firmware, wypięta taśma od IO board</t>
  </si>
  <si>
    <t>Pentium N3700</t>
  </si>
  <si>
    <t>Ładowanie baterii</t>
  </si>
  <si>
    <t>DVD</t>
  </si>
  <si>
    <t>Aktywacja Win</t>
  </si>
  <si>
    <t>Data/godzina</t>
  </si>
  <si>
    <t>Sterowniki</t>
  </si>
  <si>
    <t>Klawiatura</t>
  </si>
  <si>
    <t>Kontrola matrycy</t>
  </si>
  <si>
    <t>Audio in/out</t>
  </si>
  <si>
    <t>Kamera</t>
  </si>
  <si>
    <t>USB</t>
  </si>
  <si>
    <t>shutdown/ bios/ec/ opcjonalnie shipping</t>
  </si>
  <si>
    <t>Wear level</t>
  </si>
  <si>
    <t>Kontrola Wzrokowa Zapakowanego Sprzętu</t>
  </si>
  <si>
    <t>Karton ( Stan Wizualny )</t>
  </si>
  <si>
    <t xml:space="preserve">Naklejka WARE ( Brak naklejki traktujemy jako A-Ware )                                                   </t>
  </si>
  <si>
    <t>Numer Technika</t>
  </si>
  <si>
    <t xml:space="preserve">Rączka od Kartonu                                                                                                                   </t>
  </si>
  <si>
    <t>Kontrola Wizualna NB przed uruchomieniem:</t>
  </si>
  <si>
    <t>a) Sticker:</t>
  </si>
  <si>
    <t>Zewnętrzny – Silver Sticker MD &amp; MSN      (Produkcja )</t>
  </si>
  <si>
    <t xml:space="preserve">Zewnętrzny – Serial Number ( S/N)    </t>
  </si>
  <si>
    <t>Zewnętrzny – LAN MAC – może być, jeżeli MB nie była wymieniana</t>
  </si>
  <si>
    <t xml:space="preserve">Zewnętrzny – Laser </t>
  </si>
  <si>
    <t>Zewnętrzny – Nr Technika</t>
  </si>
  <si>
    <t xml:space="preserve">       b) Stan NB:</t>
  </si>
  <si>
    <t>Śrubki, zaślepki, gniazda w NB</t>
  </si>
  <si>
    <t>Folia na LCD</t>
  </si>
  <si>
    <t>Flyer shipping</t>
  </si>
  <si>
    <t>Mata na Klawiaturze</t>
  </si>
  <si>
    <t>naklejka intel</t>
  </si>
  <si>
    <t xml:space="preserve">Logo MEDION </t>
  </si>
  <si>
    <t>Instrukcja 40058998</t>
  </si>
  <si>
    <t>Instrukcja 40058999</t>
  </si>
  <si>
    <t>Książeczka gwarancyjna</t>
  </si>
  <si>
    <t>Zasilacz</t>
  </si>
  <si>
    <t>Kabel</t>
  </si>
  <si>
    <t>1 GB</t>
  </si>
  <si>
    <t xml:space="preserve">Naklejka z MSN                                                               </t>
  </si>
  <si>
    <t xml:space="preserve">Naklejka Zamykający Karton                                                                                                     </t>
  </si>
  <si>
    <t>Naklejka z info o akumulatorze</t>
  </si>
  <si>
    <t>Każdy co 10 pełna kontrola.</t>
  </si>
  <si>
    <t>Każdy co 5 skontrolowanie zapakowania.</t>
  </si>
  <si>
    <t>Kontrola opakowania  i zapakowanych podzespołów</t>
  </si>
  <si>
    <t>tak / nie</t>
  </si>
  <si>
    <t>Celeron N2840</t>
  </si>
  <si>
    <t>Celeron 1005M</t>
  </si>
  <si>
    <t>Celeron 3215U</t>
  </si>
  <si>
    <t>P7647</t>
  </si>
  <si>
    <t>8 Gb</t>
  </si>
  <si>
    <t>Celeron 3855U</t>
  </si>
  <si>
    <t>Błyszczący</t>
  </si>
  <si>
    <t>Pentium 4415U</t>
  </si>
  <si>
    <t>i5-6267U</t>
  </si>
  <si>
    <t>2,9 Ghz</t>
  </si>
  <si>
    <t>odczepiona taśma od IO board</t>
  </si>
  <si>
    <t>E6431</t>
  </si>
  <si>
    <t>P6677</t>
  </si>
  <si>
    <t>Atom x5-z8300</t>
  </si>
  <si>
    <t>E2227T</t>
  </si>
  <si>
    <t>S6421</t>
  </si>
  <si>
    <t>i3-6006U</t>
  </si>
  <si>
    <t>NSSL1502</t>
  </si>
  <si>
    <t>2 GHz</t>
  </si>
  <si>
    <t>Srebrny</t>
  </si>
  <si>
    <t>i7-6567U</t>
  </si>
  <si>
    <t>3,3 Ghz</t>
  </si>
  <si>
    <t>E2213</t>
  </si>
  <si>
    <t>20062493/2446</t>
  </si>
  <si>
    <t>E6669</t>
  </si>
  <si>
    <t>pendrive</t>
  </si>
  <si>
    <t>dwa SWM</t>
  </si>
  <si>
    <t>N155R01-M</t>
  </si>
  <si>
    <t>X6601</t>
  </si>
  <si>
    <t>i5-6300HQ</t>
  </si>
  <si>
    <t>12 GB</t>
  </si>
  <si>
    <t>Pentium N4200</t>
  </si>
  <si>
    <t>E3216</t>
  </si>
  <si>
    <t>Linia</t>
  </si>
  <si>
    <t>chromebook</t>
  </si>
  <si>
    <t>bez</t>
  </si>
  <si>
    <t>sponge/ poron</t>
  </si>
  <si>
    <t>m5-6Y54</t>
  </si>
  <si>
    <t>1,1-2,7 Ghz</t>
  </si>
  <si>
    <t>P3401T</t>
  </si>
  <si>
    <t>doczepiana klawiatura, ustawić kolejność botowania w bios</t>
  </si>
  <si>
    <t>1,6-2,4 Ghz</t>
  </si>
  <si>
    <t>1,44-1,84 Ghz</t>
  </si>
  <si>
    <t>bateria bios</t>
  </si>
  <si>
    <t xml:space="preserve">i3-7167U </t>
  </si>
  <si>
    <t xml:space="preserve">P6402 </t>
  </si>
  <si>
    <t xml:space="preserve">E6436 </t>
  </si>
  <si>
    <t>2,6 Ghz</t>
  </si>
  <si>
    <t>6 Gb</t>
  </si>
  <si>
    <t>E7415</t>
  </si>
  <si>
    <t>1,6-2,48 Ghz</t>
  </si>
  <si>
    <t>P6667</t>
  </si>
  <si>
    <t>1,1-2,5 Ghz</t>
  </si>
  <si>
    <t>E3215</t>
  </si>
  <si>
    <t xml:space="preserve">i7-6700HQ </t>
  </si>
  <si>
    <t xml:space="preserve">2,6-3,5 </t>
  </si>
  <si>
    <t xml:space="preserve">X6601 </t>
  </si>
  <si>
    <t>BE</t>
  </si>
  <si>
    <t>1,6-2,24 Ghz</t>
  </si>
  <si>
    <t>NT13A</t>
  </si>
  <si>
    <t>Celeron N3450</t>
  </si>
  <si>
    <t>1,1-2,2 Ghz</t>
  </si>
  <si>
    <t>E3213</t>
  </si>
  <si>
    <t xml:space="preserve">P6679 </t>
  </si>
  <si>
    <t>Pentium 3825U</t>
  </si>
  <si>
    <t>1,9 Ghz</t>
  </si>
  <si>
    <t>E6429</t>
  </si>
  <si>
    <t>Pentium 3710U</t>
  </si>
  <si>
    <t>1,6-2,56 Ghz</t>
  </si>
  <si>
    <t>Firmware SATA SSD!! (Obowiazkowo) sponge/ poron</t>
  </si>
  <si>
    <t>Firmware SATASSD !! (Obowiazkowo),  sponge/ poron</t>
  </si>
  <si>
    <t>tp firmware, sponge/ poron</t>
  </si>
  <si>
    <t>klawiatura doczepiana</t>
  </si>
  <si>
    <t>Matowy 1080p</t>
  </si>
  <si>
    <t>Błyszczący 720p</t>
  </si>
  <si>
    <t xml:space="preserve"> i3-5005U</t>
  </si>
  <si>
    <t>20061739/1740</t>
  </si>
  <si>
    <t>kb - CH</t>
  </si>
  <si>
    <t>1,6-2,16 Ghz</t>
  </si>
  <si>
    <t>wymiana zawiasów, top case  /KB - NL</t>
  </si>
  <si>
    <t>wymiana zawiasów, top case  / KB - CH</t>
  </si>
  <si>
    <t>wymiana zawiasów, top case  /KB - CH</t>
  </si>
  <si>
    <t>wymiana zawiasów, top case  /KB -  BE</t>
  </si>
  <si>
    <t xml:space="preserve">wymiana zawiasów, top case  /KB - NL </t>
  </si>
  <si>
    <t>wymiana zawiasów, top case  /KB -NL</t>
  </si>
  <si>
    <t>Obowiązkowa instrukcja ME.QA.02.528 / EC</t>
  </si>
  <si>
    <t>Obowiązkowa instrukcja ME.QA.02.528 /Nowe MB magą się nie włączać dopóki nie poklika się kila razy we włącznik. EC</t>
  </si>
  <si>
    <t>E3214</t>
  </si>
  <si>
    <t>1,1-2,2 GHz</t>
  </si>
  <si>
    <t>Matowy 720p</t>
  </si>
  <si>
    <t>20063169/2822</t>
  </si>
  <si>
    <t>30024294  </t>
  </si>
  <si>
    <t xml:space="preserve">30024347, 30024500 </t>
  </si>
  <si>
    <t>OS</t>
  </si>
  <si>
    <t>TAKTOWANIE</t>
  </si>
  <si>
    <t>MODEL PLYTY</t>
  </si>
  <si>
    <t>MODEL OBUDOWY</t>
  </si>
  <si>
    <t>PRODUCENT PLYTY</t>
  </si>
  <si>
    <t>SHIPPING</t>
  </si>
  <si>
    <t>Update Firmware LCD/Touch</t>
  </si>
  <si>
    <t>Touch /NON GLARE</t>
  </si>
  <si>
    <t>Touch/GLARE</t>
  </si>
  <si>
    <t>Touch /GLARE</t>
  </si>
  <si>
    <t>Touch 720p</t>
  </si>
  <si>
    <t>Touch 1080p</t>
  </si>
  <si>
    <t>HDD (formatowanie pamieci Flash)</t>
  </si>
  <si>
    <t xml:space="preserve">S4219 </t>
  </si>
  <si>
    <t>30019136, 30020222</t>
  </si>
  <si>
    <t>Wskazówki</t>
  </si>
  <si>
    <t>SWM</t>
  </si>
  <si>
    <t>Rodzaj panela</t>
  </si>
  <si>
    <t>Kolor obudowy</t>
  </si>
  <si>
    <t>MSN/nowy MSN</t>
  </si>
  <si>
    <t>Bios</t>
  </si>
  <si>
    <t>Prowise</t>
  </si>
  <si>
    <t xml:space="preserve"> M1042</t>
  </si>
  <si>
    <t>Zowee</t>
  </si>
  <si>
    <t>Medion</t>
  </si>
  <si>
    <t>EssentialB</t>
  </si>
  <si>
    <t>ZOWEE</t>
  </si>
  <si>
    <t>WINGMAN</t>
  </si>
  <si>
    <t xml:space="preserve">BP1.53R
</t>
  </si>
  <si>
    <t>1013B</t>
  </si>
  <si>
    <t>Malata</t>
  </si>
  <si>
    <t>MALATA</t>
  </si>
  <si>
    <t>PROWISE</t>
  </si>
  <si>
    <t>E2220T E2221T E222T E2223T E2224T E2225T E2226T E2227T E2228T E2229T</t>
  </si>
  <si>
    <t>MDCN13WW</t>
  </si>
  <si>
    <t>DY518</t>
  </si>
  <si>
    <t>LCFC</t>
  </si>
  <si>
    <t>P670RS-GM</t>
  </si>
  <si>
    <t>X7849</t>
  </si>
  <si>
    <t>1.05.03</t>
  </si>
  <si>
    <t>P670RP6-M</t>
  </si>
  <si>
    <t>X7847</t>
  </si>
  <si>
    <t>P670 RE1-M</t>
  </si>
  <si>
    <t>1.05.02</t>
  </si>
  <si>
    <t>N155RD1-M</t>
  </si>
  <si>
    <t>CLEVO</t>
  </si>
  <si>
    <t>BIT E123xT</t>
  </si>
  <si>
    <t xml:space="preserve">Bitland Mojito </t>
  </si>
  <si>
    <t>BITLAND</t>
  </si>
  <si>
    <t xml:space="preserve">Tongfang </t>
  </si>
  <si>
    <t>WCBT1122</t>
  </si>
  <si>
    <t xml:space="preserve">Tongfang  </t>
  </si>
  <si>
    <t>TONGFANG</t>
  </si>
  <si>
    <t>A16C1IM7 Ver1.0G</t>
  </si>
  <si>
    <t>MS-N011</t>
  </si>
  <si>
    <t>S2211</t>
  </si>
  <si>
    <t>MS-1773</t>
  </si>
  <si>
    <t>X7615</t>
  </si>
  <si>
    <t>MS-1772</t>
  </si>
  <si>
    <t>MS-1771</t>
  </si>
  <si>
    <t xml:space="preserve">MSI </t>
  </si>
  <si>
    <t>1703-1, 1703-2, 1703-3, 1703-4</t>
  </si>
  <si>
    <t xml:space="preserve">MS-1763 </t>
  </si>
  <si>
    <t xml:space="preserve">50M </t>
  </si>
  <si>
    <t>X7819</t>
  </si>
  <si>
    <t>X7817</t>
  </si>
  <si>
    <t>X7821</t>
  </si>
  <si>
    <t>MS-1761</t>
  </si>
  <si>
    <t>MS-16GN</t>
  </si>
  <si>
    <t>MS-16F3</t>
  </si>
  <si>
    <t xml:space="preserve"> X6823</t>
  </si>
  <si>
    <t>MS-16F2</t>
  </si>
  <si>
    <t>MS-1245</t>
  </si>
  <si>
    <t>E2312</t>
  </si>
  <si>
    <t>IVT Skoda</t>
  </si>
  <si>
    <t xml:space="preserve">Inventec SKODA </t>
  </si>
  <si>
    <t>IVT Polo
V2 IVT Polo</t>
  </si>
  <si>
    <t>Inventec Polo plastic</t>
  </si>
  <si>
    <t>PNB C1015 - xxx</t>
  </si>
  <si>
    <t>IVT Polo</t>
  </si>
  <si>
    <t>Inventec Polo aluminum</t>
  </si>
  <si>
    <t>PNB P1015 - xxx</t>
  </si>
  <si>
    <t xml:space="preserve"> V2 IVT Polo
 IVT Polo</t>
  </si>
  <si>
    <t>Smart'MOUV 1508-X</t>
  </si>
  <si>
    <t>V2 IVT Polo
IVT Polo
 V3 IVT Polo</t>
  </si>
  <si>
    <t>V2 IVT Polo
IVT Polo
V3 IVT Polo</t>
  </si>
  <si>
    <t>V3 IVT Polo
 IVT Polo</t>
  </si>
  <si>
    <t xml:space="preserve"> IVT Golf 2.0</t>
  </si>
  <si>
    <t>Inventec GOLF 2.0</t>
  </si>
  <si>
    <t>PNB S1115 - xxxx ALU</t>
  </si>
  <si>
    <t>IVT Golf 2.0
V3 IVT Golf 2.0
V2 IVT Golf 2.0</t>
  </si>
  <si>
    <t>V4 IVT Golf 2.0</t>
  </si>
  <si>
    <t>Inventec GOLF Plus</t>
  </si>
  <si>
    <t>IVT Golf+
V3 IVT Golf
V4 IVT Golf
V4 IVT Golf 2.0</t>
  </si>
  <si>
    <t>INVENTEC</t>
  </si>
  <si>
    <t>VACN11WW</t>
  </si>
  <si>
    <t>T2015</t>
  </si>
  <si>
    <t xml:space="preserve">Wistron Jaguar </t>
  </si>
  <si>
    <t>0.45</t>
  </si>
  <si>
    <t>M71U1</t>
  </si>
  <si>
    <t xml:space="preserve">E7218 </t>
  </si>
  <si>
    <t xml:space="preserve">0.09 </t>
  </si>
  <si>
    <t>M10L1</t>
  </si>
  <si>
    <t>E7214</t>
  </si>
  <si>
    <t>0.50</t>
  </si>
  <si>
    <t>M71P2</t>
  </si>
  <si>
    <t xml:space="preserve">P7624 </t>
  </si>
  <si>
    <t>M71P1</t>
  </si>
  <si>
    <t xml:space="preserve">P7812 </t>
  </si>
  <si>
    <t>0.27 - Win8</t>
  </si>
  <si>
    <t xml:space="preserve">Wistron </t>
  </si>
  <si>
    <t>0.41</t>
  </si>
  <si>
    <t>M51U2</t>
  </si>
  <si>
    <t>E6226</t>
  </si>
  <si>
    <t>M51U1</t>
  </si>
  <si>
    <t>E6224</t>
  </si>
  <si>
    <t>1.01</t>
  </si>
  <si>
    <t>M51P1</t>
  </si>
  <si>
    <t xml:space="preserve">P6812 </t>
  </si>
  <si>
    <t>WISTRON</t>
  </si>
  <si>
    <t xml:space="preserve">ECS </t>
  </si>
  <si>
    <t>1.01.06MN for Basis MEDION;  1.01.07EB for Basis Esentiel b SmartMOUV</t>
  </si>
  <si>
    <t>US55INP1</t>
  </si>
  <si>
    <t>US55INE1</t>
  </si>
  <si>
    <t>Polo 2</t>
  </si>
  <si>
    <t>SHELL</t>
  </si>
  <si>
    <t xml:space="preserve">704 
</t>
  </si>
  <si>
    <t xml:space="preserve">Pegatron T15M </t>
  </si>
  <si>
    <t xml:space="preserve">Pegatron T15B </t>
  </si>
  <si>
    <t>Pegatron H90T</t>
  </si>
  <si>
    <t>H90K</t>
  </si>
  <si>
    <t>H70JM</t>
  </si>
  <si>
    <t xml:space="preserve">Pegatron </t>
  </si>
  <si>
    <t>Optimization of CPU fan function</t>
  </si>
  <si>
    <t xml:space="preserve">final </t>
  </si>
  <si>
    <t>E15KR</t>
  </si>
  <si>
    <t>spod EFI</t>
  </si>
  <si>
    <t xml:space="preserve">
703</t>
  </si>
  <si>
    <t>Pegatron D15DUN Pegatron D15DIN</t>
  </si>
  <si>
    <t>D17B</t>
  </si>
  <si>
    <t>E7411 
Smart'MOUV1706-1</t>
  </si>
  <si>
    <t>D15B</t>
  </si>
  <si>
    <t>Pegatron D15BUN</t>
  </si>
  <si>
    <t>Same version for C15B</t>
  </si>
  <si>
    <t>Same version for C17B</t>
  </si>
  <si>
    <t>C17A</t>
  </si>
  <si>
    <t>Pegatron C17AUN</t>
  </si>
  <si>
    <t>C15A</t>
  </si>
  <si>
    <t>Pegatron C15AUN</t>
  </si>
  <si>
    <t>A35Y</t>
  </si>
  <si>
    <t xml:space="preserve">Pegatron  </t>
  </si>
  <si>
    <t>506 - Win8</t>
  </si>
  <si>
    <t>A15Y</t>
  </si>
  <si>
    <t>A25P</t>
  </si>
  <si>
    <t>510 - Win8</t>
  </si>
  <si>
    <t>A17J</t>
  </si>
  <si>
    <t>A17H</t>
  </si>
  <si>
    <t>300 - Win7
301 - Win8</t>
  </si>
  <si>
    <t>A15H</t>
  </si>
  <si>
    <t>A35FE</t>
  </si>
  <si>
    <t>A35FB</t>
  </si>
  <si>
    <t xml:space="preserve">P6637 
</t>
  </si>
  <si>
    <t>A17F</t>
  </si>
  <si>
    <t>A24A</t>
  </si>
  <si>
    <t>E4212</t>
  </si>
  <si>
    <t>A17A</t>
  </si>
  <si>
    <t>A15A</t>
  </si>
  <si>
    <t>E6222</t>
  </si>
  <si>
    <t xml:space="preserve">E6221 </t>
  </si>
  <si>
    <t>PEGATRON</t>
  </si>
  <si>
    <t>Remarks</t>
  </si>
  <si>
    <t xml:space="preserve">Mainboard </t>
  </si>
  <si>
    <t>Vendor</t>
  </si>
  <si>
    <t>Szukane:</t>
  </si>
  <si>
    <t>Patrzenie w pionie:</t>
  </si>
  <si>
    <t>E6221</t>
  </si>
  <si>
    <t xml:space="preserve">MEDION Bios </t>
  </si>
  <si>
    <t>WYSZUKIWARKA:</t>
  </si>
  <si>
    <t>WYSZUKIWARKA KOMPUTERÓW PO MODELU</t>
  </si>
  <si>
    <t>Grafitowy</t>
  </si>
  <si>
    <t>Czarny, gumowany</t>
  </si>
  <si>
    <t>Czarny</t>
  </si>
  <si>
    <t>Złoty</t>
  </si>
  <si>
    <t>Biały</t>
  </si>
  <si>
    <t>Złoty, Biały, Czarny</t>
  </si>
  <si>
    <t>Biały, Srebrny</t>
  </si>
  <si>
    <t>Brązowy</t>
  </si>
  <si>
    <t>Różowy</t>
  </si>
  <si>
    <t>Srebrny, Biały, Czarny</t>
  </si>
  <si>
    <t>Dodatkowe informacje</t>
  </si>
  <si>
    <t>-</t>
  </si>
  <si>
    <t>LIVE Pendrive</t>
  </si>
  <si>
    <t xml:space="preserve">Pendrive </t>
  </si>
  <si>
    <t xml:space="preserve">wgrywać przez  2.0 - KB - NL </t>
  </si>
  <si>
    <t xml:space="preserve"> 3.0 HDD</t>
  </si>
  <si>
    <t>KB - BE /  zamiast recovery re</t>
  </si>
  <si>
    <t>Zamiast Recovery robimy RE-!!!</t>
  </si>
  <si>
    <t>Zamiast Recovery robimy RE-!!! Nowe MB magą się nie włączać dopóki nie poklika się kila razy we włącznik.</t>
  </si>
  <si>
    <t>Re</t>
  </si>
  <si>
    <t>KB - NL /  zamiast recovery re</t>
  </si>
  <si>
    <t>Re (Wingman)</t>
  </si>
  <si>
    <t>Pendive  64 GB</t>
  </si>
  <si>
    <t>KB - NL / zamiast recovery re</t>
  </si>
  <si>
    <t xml:space="preserve">Pedrive </t>
  </si>
  <si>
    <t>Klawiatura NL, Zamiast Recovery -  z pendrive</t>
  </si>
  <si>
    <t>re</t>
  </si>
  <si>
    <t>Zamiast Recovery robimy RE-!!! AUDIO OUT Tylko Słuchawki!</t>
  </si>
  <si>
    <t>Zamiast Recovery robimy RE-!!!  AUDIO-OUT Tylko Słuchawki!!</t>
  </si>
  <si>
    <t>Zamiast Recovery robimy RE-!!! AUDIO-COMBO(Słuchawki z mikrofonem)!!</t>
  </si>
  <si>
    <t>KB -CH  /  zamiast recovery re</t>
  </si>
  <si>
    <t xml:space="preserve">Zamiast Recovery robimy RE-!!! </t>
  </si>
  <si>
    <t>KB -  BE /  zamiast recovery re</t>
  </si>
  <si>
    <t>Zamiast Recovery robimy RE-!!! / Shipping mode</t>
  </si>
  <si>
    <t>wymiana zawiasów, top case  / KB -  NL /  zamiast recovery re</t>
  </si>
  <si>
    <t>KB - NL Re</t>
  </si>
  <si>
    <t>KB NL!!!!   Re / Shipping mode</t>
  </si>
  <si>
    <t>Pednrive</t>
  </si>
  <si>
    <t>Pendrive64 GB</t>
  </si>
  <si>
    <t>Pendrive/Recovery puszczane z ustawien systemu</t>
  </si>
  <si>
    <t xml:space="preserve">Pendrive- WYBIERAMY 2 OPCJĘ </t>
  </si>
  <si>
    <t>Pendrivepodłączyc do tabletu!!!</t>
  </si>
  <si>
    <t>Recovery - re Pendrive/ bios spod EFI Shell</t>
  </si>
  <si>
    <t>SubstytutHDD 1000 GB</t>
  </si>
  <si>
    <t>Sprawdzić czy w kieszani nie ma dodatkowegoHDD/ KB - BE /  zamiast recovery re /problem z kamera -&gt; wl/ wylacz klawiszem Fn</t>
  </si>
  <si>
    <t>Pendrive / HDD</t>
  </si>
  <si>
    <t>wymiana zawiasów, top case  / KB-NL / sprawdzić czy jestHDD BAY !</t>
  </si>
  <si>
    <t>wymiana zawiasów, top case  / KB -NL / sprawdzić czy jestHDD BAY !</t>
  </si>
  <si>
    <t>Pendrive Tab 3.0</t>
  </si>
  <si>
    <t xml:space="preserve">Pendrive Tab 3.0 </t>
  </si>
  <si>
    <t>HDD / Kieszeń HDD</t>
  </si>
  <si>
    <t>Pendrive USB 2.0</t>
  </si>
  <si>
    <t xml:space="preserve"> 3.0 HDD (puszczane z kieszeni 3.0 podłaczonej do tabletu)</t>
  </si>
  <si>
    <t>INFORMACJE O OBRAZIE</t>
  </si>
  <si>
    <t>ME E6237 P6643 - version for bordrepair</t>
  </si>
  <si>
    <t>D15K P6679 P6680</t>
  </si>
  <si>
    <t>E15K E6435 E6436 P6401 P6402 P6677 P6678</t>
  </si>
  <si>
    <t>F13K S3409 S3410</t>
  </si>
  <si>
    <t>Jaguar Mobile 360-15 S6419T 
 S6619T PNB T2015</t>
  </si>
  <si>
    <t>for KB 40049263 - EC 504</t>
  </si>
  <si>
    <t>S6421 Mobile1514 PNBS2415</t>
  </si>
  <si>
    <t>1.7.7 R008</t>
  </si>
  <si>
    <t>2GDDR 20161201 4GDDR 20161201</t>
  </si>
  <si>
    <t>H8316 V4.1.0 P3S6M1L1B303T2C00W2H2G0C1P1D0C15M0X0WOS Medion 2GDDR 20161201</t>
  </si>
  <si>
    <t>H8316 V4.1.0 P3S6M1L1B303T2C00W2H2G0C2P1D0C15M0X1WOS X64 Medion 2GDDR PCB1.0A 20171206</t>
  </si>
  <si>
    <t>PCB1.0A 2GDDR X64 20170208</t>
  </si>
  <si>
    <t>H8316 V4.1.0 P3S6M1L1B303T2C00W2H2G0C2P1D0C15M0X1WOS X64 Medion 2GDDR PCB1.0A 20170208</t>
  </si>
  <si>
    <t xml:space="preserve"> D15B</t>
  </si>
  <si>
    <t>HUB ; KB - re zamiast recovery</t>
  </si>
  <si>
    <t>Pendrive 64 GB</t>
  </si>
  <si>
    <t>Celeron N2940</t>
  </si>
  <si>
    <t>Dotykowy 1080P</t>
  </si>
  <si>
    <t>Dock firmware/hdd firmware</t>
  </si>
  <si>
    <t>30023315, 30024576 (ES)</t>
  </si>
  <si>
    <t>30023149, 30023576, 30023575, 30024588 (BE)</t>
  </si>
  <si>
    <t>30023577, 30024589 (ES)</t>
  </si>
  <si>
    <t>30022665, 30024591 (NL)</t>
  </si>
  <si>
    <t>30023578, 30024592 (NL)</t>
  </si>
  <si>
    <t>30020335, 30024590 (AUS)</t>
  </si>
  <si>
    <t>srebrny</t>
  </si>
  <si>
    <t>i3-7100u</t>
  </si>
  <si>
    <t>TP firmware</t>
  </si>
  <si>
    <t>P6678</t>
  </si>
  <si>
    <t>czarny gumowany</t>
  </si>
  <si>
    <t>i7-8550U</t>
  </si>
  <si>
    <t>1.80-4.0 Ghz</t>
  </si>
  <si>
    <t>P7652</t>
  </si>
  <si>
    <t>i5-5200U</t>
  </si>
  <si>
    <t>sponge/ poron zamontowane fabrycznie, sprawdzić</t>
  </si>
  <si>
    <t>2.1 Ghz</t>
  </si>
  <si>
    <t>no os</t>
  </si>
  <si>
    <t>grafitowy</t>
  </si>
  <si>
    <t>i7-7700HQ</t>
  </si>
  <si>
    <t>2,8-3,8 Ghz</t>
  </si>
  <si>
    <t>X6603</t>
  </si>
  <si>
    <t>tp firmware, sponge / poron</t>
  </si>
  <si>
    <t>i5-7200U</t>
  </si>
  <si>
    <t>Atom x5-Z8350</t>
  </si>
  <si>
    <t>P7649</t>
  </si>
  <si>
    <t>2,3-3,2 Ghz</t>
  </si>
  <si>
    <t>X7841</t>
  </si>
  <si>
    <t>20063618/3524</t>
  </si>
  <si>
    <t>Grafika</t>
  </si>
  <si>
    <t>GTX 1050</t>
  </si>
  <si>
    <t>GTX 970M</t>
  </si>
  <si>
    <t>czarny</t>
  </si>
  <si>
    <t>1,44-1,92 Ghz</t>
  </si>
  <si>
    <t>Atom x5-Z8300</t>
  </si>
  <si>
    <t>Dotykowy 720p</t>
  </si>
  <si>
    <t>E2225T</t>
  </si>
  <si>
    <t>i7-6820HK</t>
  </si>
  <si>
    <t>2,7-3,6 Ghz</t>
  </si>
  <si>
    <t>P670 RP6-M</t>
  </si>
  <si>
    <t>GTX 1060 6 GB</t>
  </si>
  <si>
    <t>GTX 940MX 2 GB</t>
  </si>
  <si>
    <t>biału</t>
  </si>
  <si>
    <t>w przypadku nie działającego image, skopiować partycję rozruchową z innego image</t>
  </si>
  <si>
    <t>128 GB SSD; 1 TB HDD</t>
  </si>
  <si>
    <t>Duży Pendrive</t>
  </si>
  <si>
    <t>128 GB SSD; 500 GB HDD; 1TB HDD</t>
  </si>
  <si>
    <t>20 GB</t>
  </si>
  <si>
    <t>GTX 970 3 GB</t>
  </si>
  <si>
    <t>2,6-3,5 Ghz</t>
  </si>
  <si>
    <t>Recovery po wgraniu image/ EC</t>
  </si>
  <si>
    <t>S1415</t>
  </si>
  <si>
    <t>sponge/porony</t>
  </si>
  <si>
    <t>GTX 950M 4 GB</t>
  </si>
  <si>
    <t>biały</t>
  </si>
  <si>
    <t>E2217T</t>
  </si>
  <si>
    <t>128 GB eMMc; 1 TB HDD</t>
  </si>
  <si>
    <t>S2415</t>
  </si>
  <si>
    <t>i3-4005U</t>
  </si>
  <si>
    <t>1,7 Ghz</t>
  </si>
  <si>
    <t>E6411</t>
  </si>
  <si>
    <t>128 GB SSD; 1,5 TB HDD</t>
  </si>
  <si>
    <t xml:space="preserve">i5-6267U </t>
  </si>
  <si>
    <t>2,9-3,2 Ghz</t>
  </si>
  <si>
    <t>Atom x5-8350</t>
  </si>
  <si>
    <t>SN płyty pod radiatorem/ EC</t>
  </si>
  <si>
    <t>Kieszeń / Pendrive</t>
  </si>
  <si>
    <t>KLAWIATURA BE</t>
  </si>
  <si>
    <t>Klawiatura NL!!!   Obowiązkowa instrukcja ME.QA.02.528 / EC</t>
  </si>
  <si>
    <t>2,2-2,7 Ghz</t>
  </si>
  <si>
    <t>1013N</t>
  </si>
  <si>
    <t>X7855</t>
  </si>
  <si>
    <t>PA70HP6</t>
  </si>
  <si>
    <t>Nagrywać spod SWM 20062496; KB - NL</t>
  </si>
  <si>
    <t>Nagrywać spod SWM 20062496;NL, śróbka pod żółtą naklejką</t>
  </si>
  <si>
    <t>E2213 E2214</t>
  </si>
  <si>
    <t>Matowy 2k</t>
  </si>
  <si>
    <t>S1013</t>
  </si>
  <si>
    <t>i5-6200u</t>
  </si>
  <si>
    <t>2,3 GHz</t>
  </si>
  <si>
    <t>P2017</t>
  </si>
  <si>
    <t>GF 930M</t>
  </si>
  <si>
    <t>E15S E6429 E6430 E6431 E6432 P6669 P6670 P6671 P6672 E6669 P6432</t>
  </si>
  <si>
    <t>Błyszczący QHD+</t>
  </si>
  <si>
    <t>SWM na C: 20064754</t>
  </si>
  <si>
    <t>BE, SWM na E 20061745</t>
  </si>
  <si>
    <t>2,3-2,8 Ghz</t>
  </si>
  <si>
    <t>E3213 E3216 E3215</t>
  </si>
  <si>
    <t>DEFEKTY</t>
  </si>
  <si>
    <t>Dysk</t>
  </si>
  <si>
    <t>E6437</t>
  </si>
  <si>
    <t>F15K</t>
  </si>
  <si>
    <t>512 GB SSD; 1,5 TB HDD</t>
  </si>
  <si>
    <t>P6684</t>
  </si>
  <si>
    <t>GTX 1050 4 GB</t>
  </si>
  <si>
    <t>2,5-3,1</t>
  </si>
  <si>
    <t>SWM na C: 20062423</t>
  </si>
  <si>
    <t>GTX 960M 2 GB</t>
  </si>
  <si>
    <t>;1 TB HDD</t>
  </si>
  <si>
    <t>;1,5 TB HDD</t>
  </si>
  <si>
    <t>128 GB eMMC;</t>
  </si>
  <si>
    <t>128 GB SSD;</t>
  </si>
  <si>
    <t>256 GB SSD;</t>
  </si>
  <si>
    <t>32 GB eMMC;</t>
  </si>
  <si>
    <t>;500 GB HDD</t>
  </si>
  <si>
    <t>;500 GB SSD</t>
  </si>
  <si>
    <t>32 GB eMMc;</t>
  </si>
  <si>
    <t>128 GB eMMC; 1 TB HDD</t>
  </si>
  <si>
    <t>128 GB eMMC; 512 GB HDD</t>
  </si>
  <si>
    <t>128 GB SSD; 2 TB HDD</t>
  </si>
  <si>
    <t>128 GB SSD; 500 GB HDD</t>
  </si>
  <si>
    <t>256 GB SSD; 1 TB HDD</t>
  </si>
  <si>
    <t>256 GB SSD; 2 TB HDD</t>
  </si>
  <si>
    <t>64 GB eMMc;</t>
  </si>
  <si>
    <t>512 GB SSD; 2 TB HDD</t>
  </si>
  <si>
    <t>64 GB eMMC;</t>
  </si>
  <si>
    <t>;750 GB HDD</t>
  </si>
  <si>
    <t>32 GB eMMc; 500 GB HDD</t>
  </si>
  <si>
    <t>16 GB eMMc;</t>
  </si>
  <si>
    <t>512 GB SSD;</t>
  </si>
  <si>
    <t>;1 TB SSHD</t>
  </si>
  <si>
    <t>;500 GB SSHD</t>
  </si>
  <si>
    <t>32 GB eMMC; 500 GB HDD</t>
  </si>
  <si>
    <t>64 GB eMMC; 500 GB HDD</t>
  </si>
  <si>
    <t>32 GB eMMc; 1 TB HDD</t>
  </si>
  <si>
    <t>64 GB eMMc; 1 TB HDD</t>
  </si>
  <si>
    <t>256 GB SSD; 500 GB HDD</t>
  </si>
  <si>
    <t xml:space="preserve">256 GB SSD; 1,5 TB HDD </t>
  </si>
  <si>
    <t>32 GB eMMc; 750 GB HDD</t>
  </si>
  <si>
    <t>Win 8.1</t>
  </si>
  <si>
    <t>Win 8</t>
  </si>
  <si>
    <t>Win 10 x32</t>
  </si>
  <si>
    <t>E7426</t>
  </si>
  <si>
    <t>Błyszczący 1080p</t>
  </si>
  <si>
    <t>GTX 940 MX 2 GB</t>
  </si>
  <si>
    <t>P6681</t>
  </si>
  <si>
    <t>2,5 Ghz</t>
  </si>
  <si>
    <t>Nt16H</t>
  </si>
  <si>
    <t>; 1 TB HDD</t>
  </si>
  <si>
    <t>windows LIVE</t>
  </si>
  <si>
    <t>128 GB eMMc;</t>
  </si>
  <si>
    <t>brązowy</t>
  </si>
  <si>
    <t>M-5Y31</t>
  </si>
  <si>
    <t>0,9-2,4 Ghz</t>
  </si>
  <si>
    <t>GOLG 2.0</t>
  </si>
  <si>
    <t>GTX 950M 2 GB</t>
  </si>
  <si>
    <t>2,5-3,1 GHz</t>
  </si>
  <si>
    <t>Dotykowy 1080p</t>
  </si>
  <si>
    <t>1,1 Ghz</t>
  </si>
  <si>
    <t>Celeron N3350</t>
  </si>
  <si>
    <t xml:space="preserve">sponge/porony, SWM na C: 20062823 </t>
  </si>
  <si>
    <t>E15KR P6681 P6682 P6689 P6684 P6690 PNB G3115-xxxx</t>
  </si>
  <si>
    <t>64 GB eMMc; 500 GB HDD</t>
  </si>
  <si>
    <t>1.6 Ghz</t>
  </si>
  <si>
    <t>SWM na C: 20062822</t>
  </si>
  <si>
    <t>x6601</t>
  </si>
  <si>
    <t>212;  EC (spod EFI)</t>
  </si>
  <si>
    <t>tp firmaware</t>
  </si>
  <si>
    <t>Magnesy w TOP CASE! Update biosu, do najwyższego Build Date.</t>
  </si>
  <si>
    <t>Magnesy w TOP CASE! DWA KOLORY, DWA MSN!!!   Update biosu, do najwyższego Build Date.</t>
  </si>
  <si>
    <t>Magnesy w TOP CASE! Update biosu, do najwyższego Build Date. Zapieczętować można tylko 4 razy, potem potrzeba zrobić recovery.</t>
  </si>
  <si>
    <t>i5-8250U</t>
  </si>
  <si>
    <t>1,6-3,4 Ghz</t>
  </si>
  <si>
    <t>1,8-4,0 Ghz</t>
  </si>
  <si>
    <t>; 500 GB HDD</t>
  </si>
  <si>
    <t>2,1 GHz</t>
  </si>
  <si>
    <t>Win10</t>
  </si>
  <si>
    <t>;500GB HDD</t>
  </si>
  <si>
    <t>C1010</t>
  </si>
  <si>
    <t>TFG</t>
  </si>
  <si>
    <t>WMBT1031</t>
  </si>
  <si>
    <t>C1008</t>
  </si>
  <si>
    <t>WMBT1031 WMBT8931</t>
  </si>
  <si>
    <t>C1011</t>
  </si>
  <si>
    <t>1.00.12.MN.S221x_1674    1.00.12.MN(win10)             1.00.01.MN(win8)</t>
  </si>
  <si>
    <t>C1014</t>
  </si>
  <si>
    <t>NDBT1410 NDBT1401</t>
  </si>
  <si>
    <t>1.0.3 EC                                         1.04.80</t>
  </si>
  <si>
    <t>C1015</t>
  </si>
  <si>
    <t>103                                             EC_10301</t>
  </si>
  <si>
    <t>POLO Aluminium/Plastic</t>
  </si>
  <si>
    <t>C1017</t>
  </si>
  <si>
    <t>C2015</t>
  </si>
  <si>
    <t>MA50Lx_V1.07</t>
  </si>
  <si>
    <t>B5CN18WW(V2.8&amp;V1.4) B5CN81WW(V8.1&amp;V1.4) PEAQ</t>
  </si>
  <si>
    <t>E123xT / MD99098</t>
  </si>
  <si>
    <t>P1017</t>
  </si>
  <si>
    <t>P1115</t>
  </si>
  <si>
    <t>130 - Win8                                     180 - Win10</t>
  </si>
  <si>
    <t>707, Dock 204</t>
  </si>
  <si>
    <t>GOLF Plus</t>
  </si>
  <si>
    <t>404R - Win8                               412R - Win10</t>
  </si>
  <si>
    <t>S1015/S1115/S6217/S6417</t>
  </si>
  <si>
    <t>004</t>
  </si>
  <si>
    <t>T2011</t>
  </si>
  <si>
    <t>S3403/S1013 99523</t>
  </si>
  <si>
    <t>MS-13D1</t>
  </si>
  <si>
    <t>WMBT8931 WMBT1031</t>
  </si>
  <si>
    <t>C1011
S2210 s2211 s2212 s2213 s2214 s2215 s2216 s2217 s2218 s2219</t>
  </si>
  <si>
    <t>E7423 E7424 P7401 P7402 P7645 P7646 P7647 P7648</t>
  </si>
  <si>
    <t>E7425 E7426 P7649 P7650 P7651 P7652</t>
  </si>
  <si>
    <t>E7419 E7420 E7421 E7422 P7641 P7642 P7643 P7644 P2017</t>
  </si>
  <si>
    <t>E1231T E1232T</t>
  </si>
  <si>
    <t>PNB S1414 PNB S1415 S4219 S4220 S6219 S6220 Smart'MOUV 1405 Smart'MOUV 1513</t>
  </si>
  <si>
    <t>E7219 E7220 
P7621 P7622</t>
  </si>
  <si>
    <t>E7221 E7222
E7201 P7815</t>
  </si>
  <si>
    <t>P7815 P7816 P7818 W8
E7201 E7221 E7222</t>
  </si>
  <si>
    <t>P6635 P6636</t>
  </si>
  <si>
    <t xml:space="preserve">P6815 P6816 </t>
  </si>
  <si>
    <t xml:space="preserve">P6633 P6634 </t>
  </si>
  <si>
    <t>X6815 X6816</t>
  </si>
  <si>
    <t>E6201 E6227 E6228</t>
  </si>
  <si>
    <t>S4209 S4211 
S4213 S4214 S4215 S4216</t>
  </si>
  <si>
    <t>E6237 P6643 
SmartMOUV1506 3</t>
  </si>
  <si>
    <t>E7223 E7224 E7223T E7224T 
P7627 P7628 P7627T P7628T 
SmartMOUV1705 MD98768
Smart'MOUV 1705 1704</t>
  </si>
  <si>
    <t>E6241 P6647 P6648</t>
  </si>
  <si>
    <t>E7227 E7227T E7228 E7228T 
P7631 P7631T P7632 P7632T</t>
  </si>
  <si>
    <t>E6239 E6240 E6239T E6240T Smart´Mouv 1506</t>
  </si>
  <si>
    <t>E7225  E7226 E7225T E7226T</t>
  </si>
  <si>
    <t>E6412 E6412T E6411</t>
  </si>
  <si>
    <t xml:space="preserve">E6421 E6422 E6424 P6661 P6659 P6667 P6660 </t>
  </si>
  <si>
    <t xml:space="preserve">E1317T E1318T 
Smart'MOUV 1004 </t>
  </si>
  <si>
    <t>P2213T P2214T 
PC'TAB1204</t>
  </si>
  <si>
    <t>S6213T 
S6214T</t>
  </si>
  <si>
    <t>S6211 S6212 S6211T S6212T</t>
  </si>
  <si>
    <t>S6611 S6612 S6615T 
Esentiel b SmartMOUV 1505</t>
  </si>
  <si>
    <t>S6611T S6612T</t>
  </si>
  <si>
    <t xml:space="preserve">P2211T P2212T </t>
  </si>
  <si>
    <t>S6217 S6218</t>
  </si>
  <si>
    <t>S6417 S6418</t>
  </si>
  <si>
    <t>X6817 X6819</t>
  </si>
  <si>
    <t>X6821 X6825</t>
  </si>
  <si>
    <t xml:space="preserve">
E6313 E6314 E6315</t>
  </si>
  <si>
    <t>X7813 X7815</t>
  </si>
  <si>
    <t>X7825 X7826 X7827 X7828 X7829 X7830 X7831 X7832 X7833 X7834 X7835 X7836
Dark´Mouv 1703-x</t>
  </si>
  <si>
    <t>X7611 X7612 
Dark´Mouv 1702-2</t>
  </si>
  <si>
    <t xml:space="preserve">X7613 X7614 
Dark´Mouv 1702-3 </t>
  </si>
  <si>
    <t>S5611 S5612</t>
  </si>
  <si>
    <t>E4213 E4214 C1014</t>
  </si>
  <si>
    <t xml:space="preserve">E2211T E2212T
PC`TAB 1205 </t>
  </si>
  <si>
    <t>E1233T E1234T</t>
  </si>
  <si>
    <t xml:space="preserve">X7841 X7842 
X7843 X7844 </t>
  </si>
  <si>
    <t>EMDOOR EMD</t>
  </si>
  <si>
    <t>S1219T S1220T 
PC'TAB 1001-1</t>
  </si>
  <si>
    <t>P7816 P7817 P7818</t>
  </si>
  <si>
    <t>E1229 E1230</t>
  </si>
  <si>
    <t>E1221 E1222 E1223</t>
  </si>
  <si>
    <t>d17d</t>
  </si>
  <si>
    <t xml:space="preserve">P1115 </t>
  </si>
  <si>
    <t>Smart'MOUV 1510</t>
  </si>
  <si>
    <t>MS-16C1</t>
  </si>
  <si>
    <t>S3403 S1013</t>
  </si>
  <si>
    <t>P1211T P9211T C1010 C1008</t>
  </si>
  <si>
    <t>Nie</t>
  </si>
  <si>
    <t>E1239T E1240T C2010</t>
  </si>
  <si>
    <t>E6415 E6416 E6417 E6418 
P6653 P6654 P6653T P6654T
P6655 P6656 P6655T P6656T 
P6657 P6658 P6657T P6658T C2115</t>
  </si>
  <si>
    <t>S1414</t>
  </si>
  <si>
    <t>S6217</t>
  </si>
  <si>
    <t>s6417</t>
  </si>
  <si>
    <t>P6515</t>
  </si>
  <si>
    <t>P1115 E6419 P1015 
P6515 P6516 P6517 P6518 P6515</t>
  </si>
  <si>
    <t>E6419</t>
  </si>
  <si>
    <t>E1233T</t>
  </si>
  <si>
    <t>S1015</t>
  </si>
  <si>
    <t>Golf Plus</t>
  </si>
  <si>
    <t>S1015 S6417</t>
  </si>
  <si>
    <t>S1115</t>
  </si>
  <si>
    <t>Polo Aluminium/Plastic</t>
  </si>
  <si>
    <t>P1117</t>
  </si>
  <si>
    <t>E7413 E7414 E7415 E7416 P7635 P7636 P7637 P7638 P7639 P7640 E7416T C1017 P1017 P1117</t>
  </si>
  <si>
    <t>Golf 2.0</t>
  </si>
  <si>
    <t>F15KxR</t>
  </si>
  <si>
    <t>F15KRME.V207</t>
  </si>
  <si>
    <t>30019139, 30020147</t>
  </si>
  <si>
    <t>S6419T</t>
  </si>
  <si>
    <t>S6619T</t>
  </si>
  <si>
    <t>NSBW1x02</t>
  </si>
  <si>
    <t>sponge poron</t>
  </si>
  <si>
    <t>256 GB SSD; 1,5 TB HDD</t>
  </si>
  <si>
    <t>32 GB</t>
  </si>
  <si>
    <t>2,6-35 Ghz</t>
  </si>
  <si>
    <t xml:space="preserve">Kieszeń / Pendrive </t>
  </si>
  <si>
    <t>sponge/ poron/ img z kieszeni usb 2.0?</t>
  </si>
  <si>
    <t>99880m</t>
  </si>
  <si>
    <t>99949m</t>
  </si>
  <si>
    <t>Kieszeń USB</t>
  </si>
  <si>
    <t>usb 2.0</t>
  </si>
  <si>
    <t>i5-7300HQ</t>
  </si>
  <si>
    <t>2,5-3,5 Ghz</t>
  </si>
  <si>
    <t>GTX 1050 Ti 4 GB</t>
  </si>
  <si>
    <t>E6426</t>
  </si>
  <si>
    <t>P6689</t>
  </si>
  <si>
    <t>20064732/4564</t>
  </si>
  <si>
    <t>20061178/1355</t>
  </si>
  <si>
    <t>WMSET przed flashem bios, EC</t>
  </si>
  <si>
    <t>X7843</t>
  </si>
  <si>
    <t>GRX 980M 4 GB</t>
  </si>
  <si>
    <t>E6439 E6440 P6685 P6686 S6425 S6426 S6625 S6626 E6426</t>
  </si>
  <si>
    <t>BE, jack tylko słuchawki</t>
  </si>
  <si>
    <t>NL / warto sprawdzić czy NB nie ukrył jakiegoś okna dialogowego po wgraniu oprogramowna</t>
  </si>
  <si>
    <t>DY518 dy520 X6603</t>
  </si>
  <si>
    <t>złoty</t>
  </si>
  <si>
    <t>Update biosu, do najwyższego Build Date.</t>
  </si>
  <si>
    <t>Błyszczący 1440p</t>
  </si>
  <si>
    <t>480 GB SSD; 2 TB HDD</t>
  </si>
  <si>
    <t>GTX 1070 8 GB</t>
  </si>
  <si>
    <t>P7651</t>
  </si>
  <si>
    <t>tp firmware, KB NL!</t>
  </si>
  <si>
    <t>rose</t>
  </si>
  <si>
    <t>X7853</t>
  </si>
  <si>
    <t>X7851</t>
  </si>
  <si>
    <t>P670RS</t>
  </si>
  <si>
    <t>X7849 X7853 X7851</t>
  </si>
  <si>
    <t>2,7-3,0 Ghz</t>
  </si>
  <si>
    <t>GTX 970M 3GB</t>
  </si>
  <si>
    <t>E4242</t>
  </si>
  <si>
    <t>X</t>
  </si>
  <si>
    <t>NSBW1402</t>
  </si>
  <si>
    <t>NIe</t>
  </si>
  <si>
    <t>; 1,5 TB</t>
  </si>
  <si>
    <t>Celeron N3160</t>
  </si>
  <si>
    <t>GTX 930M 2 GB</t>
  </si>
  <si>
    <t>P670RE1-M</t>
  </si>
  <si>
    <t>GTX 970M 3 GB</t>
  </si>
  <si>
    <t>Recovery po wgraniu image/ EC/ włączyć kamerę Fn + F10</t>
  </si>
  <si>
    <t>Bateria bios</t>
  </si>
  <si>
    <t>Bez</t>
  </si>
  <si>
    <t>i5-7Y54</t>
  </si>
  <si>
    <t>1,2-3,2 Ghz</t>
  </si>
  <si>
    <t>P3403</t>
  </si>
  <si>
    <t>S125K</t>
  </si>
  <si>
    <t>1,1-2,4 Ghz</t>
  </si>
  <si>
    <t>Bateria BIOS</t>
  </si>
  <si>
    <t>P6687</t>
  </si>
  <si>
    <t>MX150 2GB</t>
  </si>
  <si>
    <t>16 gb</t>
  </si>
  <si>
    <t>i5-4210M</t>
  </si>
  <si>
    <t>825 M</t>
  </si>
  <si>
    <t>256 GB SSD;  1 TB HDD</t>
  </si>
  <si>
    <t>20061178/1354</t>
  </si>
  <si>
    <t>GTX 980M 4 GB</t>
  </si>
  <si>
    <t>E4241</t>
  </si>
  <si>
    <t>N14H</t>
  </si>
  <si>
    <t>2,16-2,58 Ghz</t>
  </si>
  <si>
    <t>30025250;30025458</t>
  </si>
  <si>
    <t>srebrny;złoty</t>
  </si>
  <si>
    <t>Jeśli jest problem z wgraniem img użyć USB 2.0</t>
  </si>
  <si>
    <t>DPK wgrywać nowy klucz WIN 10</t>
  </si>
  <si>
    <t>3ND</t>
  </si>
  <si>
    <t>0,9-2,2 Ghz</t>
  </si>
  <si>
    <t>P3401</t>
  </si>
  <si>
    <t>Sterownik bluetooth wgrać ręcznie, plik w folderze Z:\refurbish     /EC/ włączyć kamerę Fn + F10</t>
  </si>
  <si>
    <t>Nowe zasilacze!</t>
  </si>
  <si>
    <t>m3-6Y30</t>
  </si>
  <si>
    <t>PEAQ MODEL</t>
  </si>
  <si>
    <t>PMM C1010-I01B3</t>
  </si>
  <si>
    <t>P1211T</t>
  </si>
  <si>
    <t>PNB S1415-I2N1S</t>
  </si>
  <si>
    <t xml:space="preserve"> PNB C2015-I2N1</t>
  </si>
  <si>
    <t>E6425</t>
  </si>
  <si>
    <t>PNB C2015-I5N1</t>
  </si>
  <si>
    <t>PNB P2015-I5N1</t>
  </si>
  <si>
    <t>P6663</t>
  </si>
  <si>
    <t>PNB P2015-I7N1</t>
  </si>
  <si>
    <t xml:space="preserve">P6663 </t>
  </si>
  <si>
    <t>PNB G2015-I5N1</t>
  </si>
  <si>
    <t>P6665</t>
  </si>
  <si>
    <t>E6425 C2015 G2015 P6665 P2015 Terra 1530 P6663</t>
  </si>
  <si>
    <t>C2010-I02B1</t>
  </si>
  <si>
    <t>PMM C1010-I0N2</t>
  </si>
  <si>
    <t>PNB C1011-I0B3</t>
  </si>
  <si>
    <t>PNB C2115-I3B1</t>
  </si>
  <si>
    <t>PNB P2015-I7B1</t>
  </si>
  <si>
    <t xml:space="preserve"> P6663</t>
  </si>
  <si>
    <t xml:space="preserve">NB PEAQ S4219 PNB S1414- MD60163 BE </t>
  </si>
  <si>
    <t>C2015-I5N2</t>
  </si>
  <si>
    <t>KB - NL / zamiast recovery re; firmware:HDD&amp;DOCK(204); W urządzeniu powinien być ustawiony shipping mode Akku.</t>
  </si>
  <si>
    <t>Wykasować dispartem dyski, po skasowaniu dysków podpiąć PEN z  i zamknąć okienko konsoli. Uruchomi się i nagra sam./ KB - NL,  ; firmware:HDD&amp;DOCK(204); W urządzeniu powinien być ustawiony shipping mode Akku.</t>
  </si>
  <si>
    <t>PMM C1008-I01NL</t>
  </si>
  <si>
    <t>PNB P1115-I2NL</t>
  </si>
  <si>
    <t>KB - NL, po testach recovery z pod system, pratycję D:// dogrywamy przez HDClone z dysku; firmware:HDD&amp;DOCK(204); W urządzeniu powinien być ustawiony shipping mode Akku.</t>
  </si>
  <si>
    <t>PNB S1015-I2NL</t>
  </si>
  <si>
    <t>PNB S1115-IMNL</t>
  </si>
  <si>
    <t xml:space="preserve"> PNB P1115-I5NL</t>
  </si>
  <si>
    <t>PNB P1115-I7NL</t>
  </si>
  <si>
    <t>PNB P1115-I5CH</t>
  </si>
  <si>
    <t xml:space="preserve"> S1115-IMCH</t>
  </si>
  <si>
    <t>C1017-I2CH</t>
  </si>
  <si>
    <t>P1117-I7CH</t>
  </si>
  <si>
    <t>P1017-I5CH</t>
  </si>
  <si>
    <t>PMM C1008-I01N</t>
  </si>
  <si>
    <t>PMM C1010-I01NL</t>
  </si>
  <si>
    <t xml:space="preserve">PMM C1010-I01NL </t>
  </si>
  <si>
    <t>PNB C1014-I1NL</t>
  </si>
  <si>
    <t>PNB S1115-IM2N</t>
  </si>
  <si>
    <t>PNB C1015-I2N2</t>
  </si>
  <si>
    <t>PNB P1115-I5NL</t>
  </si>
  <si>
    <t>PNB P1115-I7N2</t>
  </si>
  <si>
    <t>PNB C1011-I0N1</t>
  </si>
  <si>
    <t>PNB C1011-I0B1</t>
  </si>
  <si>
    <t>PMM C1008-I01B1</t>
  </si>
  <si>
    <t>PMM C1010-I01B1</t>
  </si>
  <si>
    <t xml:space="preserve"> PNB C1014-I1B1</t>
  </si>
  <si>
    <t>PNB P1115-I5B1</t>
  </si>
  <si>
    <t>PNB P1117-I7B1</t>
  </si>
  <si>
    <t>PNB P1017-I5B1</t>
  </si>
  <si>
    <t>PNB P1115-I7B1</t>
  </si>
  <si>
    <t>PNB C1015-I5B1</t>
  </si>
  <si>
    <t>PNB S1013-I5N1</t>
  </si>
  <si>
    <t>PNB S1015-I2N2</t>
  </si>
  <si>
    <t xml:space="preserve">S6217 </t>
  </si>
  <si>
    <t>PNB P2017–I7C1</t>
  </si>
  <si>
    <t>PNB C1015-I3C1</t>
  </si>
  <si>
    <t>NB IEC Polo PNB C1015 PEAQ MD99688 NL Ref</t>
  </si>
  <si>
    <t>C1015-I2N4</t>
  </si>
  <si>
    <t>PNB S1415-I1C</t>
  </si>
  <si>
    <t>PNB S1414-I1C1S</t>
  </si>
  <si>
    <t>PNB P1115-I7B2</t>
  </si>
  <si>
    <t>PNB C1015-I3B1</t>
  </si>
  <si>
    <t>PNB S1414-I1B1</t>
  </si>
  <si>
    <t>PMM C1010-I01B2</t>
  </si>
  <si>
    <t>PNB C1011-I0B2</t>
  </si>
  <si>
    <t>PMM C1010–I02N3</t>
  </si>
  <si>
    <t>PMM P1011–I12N1</t>
  </si>
  <si>
    <t>S1414-I0N1 S</t>
  </si>
  <si>
    <t>PNB S1414-I0N1 W</t>
  </si>
  <si>
    <t>PNB S1414-I1B1 S</t>
  </si>
  <si>
    <t>KB - NL /  zamiast recovery re ;  firmware:HDD&amp;DOCK(204); W urządzeniu powinien być ustawiony shipping mode Akku.</t>
  </si>
  <si>
    <t>PNB T2015-I3N1</t>
  </si>
  <si>
    <t>PNB T2015-I5N1</t>
  </si>
  <si>
    <t>MODEL PEAQ</t>
  </si>
  <si>
    <t>128 GB SSD;  1 TB HDD ;500 GB HDD</t>
  </si>
  <si>
    <t>Build date</t>
  </si>
  <si>
    <t xml:space="preserve">
</t>
  </si>
  <si>
    <t>0.17.04</t>
  </si>
  <si>
    <t>1.00.01</t>
  </si>
  <si>
    <t>EP1.53R</t>
  </si>
  <si>
    <t>BP1.53R</t>
  </si>
  <si>
    <t>50M</t>
  </si>
  <si>
    <t>405 - Win7 ; 503 - Win8</t>
  </si>
  <si>
    <t>107 Win7; 50M Win10</t>
  </si>
  <si>
    <t>407 - Win7; 504 - Win8</t>
  </si>
  <si>
    <t xml:space="preserve">10E Win7; 750N Win8 </t>
  </si>
  <si>
    <t>130 - Win8; 180 - Win10</t>
  </si>
  <si>
    <t>130 - WIn8; 180 - Win10</t>
  </si>
  <si>
    <t>405R - WIn8; 412R - Win10</t>
  </si>
  <si>
    <t>404R - Win8; 412R - Win10</t>
  </si>
  <si>
    <t>Win10 2016 07 05; Win8.1 2015 09.06</t>
  </si>
  <si>
    <t>1.00.12.MN Win10; 1.00.01.MN Win8</t>
  </si>
  <si>
    <t>611 - Win8; 701 - Win10</t>
  </si>
  <si>
    <t>700 - Win7; 613 - Win8; 702 - Win10</t>
  </si>
  <si>
    <t>204 - Win8; 605 - Win8.1</t>
  </si>
  <si>
    <t>204 - Win7; 507 - Win8</t>
  </si>
  <si>
    <t>208 - Win7; 503 - Win8</t>
  </si>
  <si>
    <t>204 - Win7; 207 - Win8</t>
  </si>
  <si>
    <t>301 - Win7; 303 - Win8</t>
  </si>
  <si>
    <t>207 - Win7 ; 510 - Win8</t>
  </si>
  <si>
    <t>203 - Win7 ; 301 - Win8</t>
  </si>
  <si>
    <t>301 - Win7 ; 303 - Win8</t>
  </si>
  <si>
    <t>206 - Win7 ; 301 - Win8</t>
  </si>
  <si>
    <t>300 - Win7 ; 301 - Win8</t>
  </si>
  <si>
    <t>1.01.06.MN; 1.01.07.EB</t>
  </si>
  <si>
    <t>1.01.07.MN; 1.01.07.EB</t>
  </si>
  <si>
    <t>1.06.00.EB; 1.06.01.MN</t>
  </si>
  <si>
    <t>510 / 715</t>
  </si>
  <si>
    <t xml:space="preserve">MEDION: 107; EB: 101 </t>
  </si>
  <si>
    <t>502</t>
  </si>
  <si>
    <t>501</t>
  </si>
  <si>
    <t>5.04</t>
  </si>
  <si>
    <t>71.504</t>
  </si>
  <si>
    <t>1.04.80</t>
  </si>
  <si>
    <t xml:space="preserve">1.0.3 </t>
  </si>
  <si>
    <t>1.17.80</t>
  </si>
  <si>
    <t>N.1.57</t>
  </si>
  <si>
    <t>1.07.80</t>
  </si>
  <si>
    <t>1.06</t>
  </si>
  <si>
    <t>1.060.81</t>
  </si>
  <si>
    <t xml:space="preserve">1.03  </t>
  </si>
  <si>
    <t>10301 / 1.04</t>
  </si>
  <si>
    <t>1.05.16RME2</t>
  </si>
  <si>
    <t>1.05.02 RGME5 00007</t>
  </si>
  <si>
    <t>2016.12.01</t>
  </si>
  <si>
    <t>2017.12.06</t>
  </si>
  <si>
    <t>P670RE1M</t>
  </si>
  <si>
    <t>05ME2</t>
  </si>
  <si>
    <t>5.11</t>
  </si>
  <si>
    <t>1.3 / 1.04</t>
  </si>
  <si>
    <t>D17KxR; D17KR</t>
  </si>
  <si>
    <t>Obudowę trzymają magnesy, zaczynając dużą kostką od dołu można otworzyć jednostkę. Image spod usb C pomaga w razie problemów.</t>
  </si>
  <si>
    <t>E2210T E2212T E2213T E2215T E2216T E2217T E2218T E2219T T2011</t>
  </si>
  <si>
    <t>Automatyczny shipping mode przy pieczętowaniu. Baterie bios podpina się odslonietymi pinami do góry.</t>
  </si>
  <si>
    <t xml:space="preserve"> Celeron  N2910</t>
  </si>
  <si>
    <t xml:space="preserve"> Celeron  N2920</t>
  </si>
  <si>
    <t xml:space="preserve"> Celeron  N2930</t>
  </si>
  <si>
    <t xml:space="preserve"> Pentium  N3530</t>
  </si>
  <si>
    <t xml:space="preserve"> Celeron  N2830</t>
  </si>
  <si>
    <t xml:space="preserve"> Celeron  N2807</t>
  </si>
  <si>
    <t xml:space="preserve"> Pentium  N3540</t>
  </si>
  <si>
    <t xml:space="preserve"> Celeron N2840</t>
  </si>
  <si>
    <t xml:space="preserve"> Pentium  2020M</t>
  </si>
  <si>
    <t xml:space="preserve">  Celeron  N2910</t>
  </si>
  <si>
    <t xml:space="preserve"> Pentium  N3520</t>
  </si>
  <si>
    <t xml:space="preserve"> Pentium  3558U</t>
  </si>
  <si>
    <t xml:space="preserve"> Pentium 3805U </t>
  </si>
  <si>
    <t xml:space="preserve"> Mobile Celeron N2840</t>
  </si>
  <si>
    <t xml:space="preserve"> Celeron  N2808</t>
  </si>
  <si>
    <t xml:space="preserve"> Atom  Z3735G</t>
  </si>
  <si>
    <t xml:space="preserve"> Pentium 3825U </t>
  </si>
  <si>
    <t xml:space="preserve"> Celeron 3855U</t>
  </si>
  <si>
    <t xml:space="preserve"> Mobile Celeron N3150</t>
  </si>
  <si>
    <t xml:space="preserve"> Celeron  3855U</t>
  </si>
  <si>
    <t xml:space="preserve">Rockchip RK3288 Quad- Cortex-A17 </t>
  </si>
  <si>
    <t xml:space="preserve">  i5-4210U </t>
  </si>
  <si>
    <t xml:space="preserve">  i5-3210 M </t>
  </si>
  <si>
    <t xml:space="preserve">  i7-3630QM </t>
  </si>
  <si>
    <t xml:space="preserve">   m-5Y10c</t>
  </si>
  <si>
    <t xml:space="preserve">  i5-3210M </t>
  </si>
  <si>
    <t xml:space="preserve">  i3-4000M</t>
  </si>
  <si>
    <t xml:space="preserve">  i3-3110 M </t>
  </si>
  <si>
    <t xml:space="preserve">  i3-3120M </t>
  </si>
  <si>
    <t xml:space="preserve">  i7-5500U </t>
  </si>
  <si>
    <t xml:space="preserve">  i3-4010U</t>
  </si>
  <si>
    <t xml:space="preserve">  i5-3230 M </t>
  </si>
  <si>
    <t xml:space="preserve"> i7-4700MQ </t>
  </si>
  <si>
    <t xml:space="preserve">   m-5Y31</t>
  </si>
  <si>
    <t xml:space="preserve">  i3-4100M  </t>
  </si>
  <si>
    <t xml:space="preserve"> i5-4210M </t>
  </si>
  <si>
    <t xml:space="preserve"> i7-4710MQ </t>
  </si>
  <si>
    <t xml:space="preserve">  i3-5010U </t>
  </si>
  <si>
    <t xml:space="preserve">  M 5Y31</t>
  </si>
  <si>
    <t xml:space="preserve">  i5-5257U </t>
  </si>
  <si>
    <t xml:space="preserve">  i3-6100U </t>
  </si>
  <si>
    <t xml:space="preserve"> i7-6700HQ </t>
  </si>
  <si>
    <t xml:space="preserve">  i3-5010U</t>
  </si>
  <si>
    <t xml:space="preserve"> i3-6100U</t>
  </si>
  <si>
    <t xml:space="preserve"> i3-6100U </t>
  </si>
  <si>
    <t xml:space="preserve">  i3-5005U </t>
  </si>
  <si>
    <t xml:space="preserve">  i3-6167U</t>
  </si>
  <si>
    <t xml:space="preserve"> i3-6157U </t>
  </si>
  <si>
    <t xml:space="preserve"> Pentium N3540</t>
  </si>
  <si>
    <t xml:space="preserve"> Celeron N2920</t>
  </si>
  <si>
    <t xml:space="preserve">i5-3317U </t>
  </si>
  <si>
    <t xml:space="preserve">  i3-3110M </t>
  </si>
  <si>
    <t xml:space="preserve">  i3-3217U </t>
  </si>
  <si>
    <t xml:space="preserve"> Pentium B960</t>
  </si>
  <si>
    <t xml:space="preserve"> Pentium 3805U</t>
  </si>
  <si>
    <t xml:space="preserve">i7-5500U </t>
  </si>
  <si>
    <t xml:space="preserve">  i5-3317U </t>
  </si>
  <si>
    <t xml:space="preserve"> Pentium  3805U</t>
  </si>
  <si>
    <t xml:space="preserve"> Pentium  3540U</t>
  </si>
  <si>
    <t xml:space="preserve"> Pentium 3825U</t>
  </si>
  <si>
    <t xml:space="preserve">   i3-5005U</t>
  </si>
  <si>
    <t>i3-5020U</t>
  </si>
  <si>
    <t>NSBW1*02</t>
  </si>
  <si>
    <t>E123*T</t>
  </si>
  <si>
    <t>D17K*R</t>
  </si>
  <si>
    <t>F15K*R</t>
  </si>
  <si>
    <t>TM13-W, TM12-W (PEAQ)</t>
  </si>
  <si>
    <t>V024, MD99397 - V045, MD99633 - V061</t>
  </si>
  <si>
    <t>V024, MD99348 - V046, MD99667 30019855 - V053, MD99705 - V063</t>
  </si>
  <si>
    <t>V019, MD99379 - V044</t>
  </si>
  <si>
    <t>B5CN18WW(V2.8&amp;V1.4), B5CN81WW(V8.1&amp;V1.4) PEAQ</t>
  </si>
  <si>
    <t>EB: AHCI 502; RAID 702;, MEDION: AHCI 500; RAID 700</t>
  </si>
  <si>
    <t>MA50Lx_1.07.MN</t>
  </si>
  <si>
    <t>3165 3ND Wingman</t>
  </si>
  <si>
    <t xml:space="preserve">3165 3ND Wingman </t>
  </si>
  <si>
    <t>MA50L*</t>
  </si>
  <si>
    <t>Skoda E1232T</t>
  </si>
  <si>
    <t>WMBT1031, WMBT8931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</si>
</sst>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\ &quot;€&quot;_-;\-* #,##0.00\ &quot;€&quot;_-;_-* &quot;-&quot;??\ &quot;€&quot;_-;_-@_-"/>
  </numFmts>
  <fonts count="62" x14ac:knownFonts="1">
    <font>
      <sz val="10"/>
      <name val="Arial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</font>
    <font>
      <sz val="1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20"/>
      <color theme="0"/>
      <name val="Calibri"/>
      <family val="2"/>
      <scheme val="minor"/>
    </font>
    <font>
      <sz val="20"/>
      <name val="Calibri"/>
      <family val="2"/>
      <scheme val="minor"/>
    </font>
    <font>
      <b/>
      <sz val="30"/>
      <color theme="0"/>
      <name val="Calibri"/>
      <family val="2"/>
      <scheme val="minor"/>
    </font>
    <font>
      <b/>
      <sz val="4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Arial"/>
      <family val="2"/>
    </font>
    <font>
      <sz val="10"/>
      <color indexed="8"/>
      <name val="Calibri"/>
      <family val="2"/>
      <scheme val="minor"/>
    </font>
    <font>
      <sz val="10"/>
      <name val="Calibri"/>
      <family val="2"/>
    </font>
    <font>
      <sz val="20"/>
      <color theme="0" tint="-4.9989318521683403E-2"/>
      <name val="Calibri"/>
      <family val="2"/>
      <scheme val="minor"/>
    </font>
    <font>
      <b/>
      <sz val="11"/>
      <color theme="1"/>
      <name val="Arial"/>
      <family val="2"/>
    </font>
    <font>
      <sz val="11"/>
      <name val="Arial"/>
      <family val="2"/>
    </font>
    <font>
      <sz val="11"/>
      <color rgb="FFFF0000"/>
      <name val="Arial"/>
      <family val="2"/>
    </font>
    <font>
      <sz val="10"/>
      <name val="Times New Roman"/>
      <family val="1"/>
    </font>
    <font>
      <sz val="10"/>
      <color rgb="FFFF0000"/>
      <name val="Times New Roman"/>
      <family val="1"/>
    </font>
    <font>
      <b/>
      <sz val="10"/>
      <name val="Times New Roman"/>
      <family val="1"/>
    </font>
    <font>
      <sz val="16"/>
      <name val="Arial"/>
      <family val="2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Tahoma"/>
      <family val="2"/>
    </font>
    <font>
      <sz val="8"/>
      <name val="Calibri"/>
      <family val="2"/>
      <scheme val="minor"/>
    </font>
    <font>
      <sz val="10"/>
      <name val="Arial"/>
      <family val="2"/>
      <charset val="238"/>
    </font>
    <font>
      <b/>
      <sz val="20"/>
      <name val="Calibri"/>
      <family val="2"/>
      <charset val="238"/>
      <scheme val="minor"/>
    </font>
    <font>
      <b/>
      <sz val="30"/>
      <color theme="0"/>
      <name val="Calibri"/>
      <family val="2"/>
      <charset val="238"/>
      <scheme val="minor"/>
    </font>
    <font>
      <sz val="20"/>
      <color theme="0"/>
      <name val="Calibri"/>
      <family val="2"/>
      <charset val="238"/>
      <scheme val="minor"/>
    </font>
    <font>
      <sz val="20"/>
      <color theme="0" tint="-4.9989318521683403E-2"/>
      <name val="Calibri"/>
      <family val="2"/>
      <charset val="238"/>
      <scheme val="minor"/>
    </font>
    <font>
      <sz val="24"/>
      <name val="Arial"/>
      <family val="2"/>
    </font>
    <font>
      <b/>
      <sz val="10"/>
      <name val="Times New Roman"/>
      <family val="1"/>
    </font>
    <font>
      <sz val="10"/>
      <name val="Times New Roman"/>
      <family val="1"/>
    </font>
    <font>
      <sz val="8.5"/>
      <name val="Arial"/>
      <family val="2"/>
    </font>
    <font>
      <sz val="8.5"/>
      <color rgb="FF000000"/>
      <name val="Arial"/>
      <family val="2"/>
    </font>
    <font>
      <b/>
      <sz val="10"/>
      <name val="Times New Roman"/>
      <family val="1"/>
    </font>
    <font>
      <sz val="10"/>
      <name val="Times New Roman"/>
      <family val="1"/>
    </font>
    <font>
      <b/>
      <sz val="10"/>
      <name val="Times New Roman"/>
    </font>
    <font>
      <sz val="10"/>
      <name val="Times New Roman"/>
    </font>
    <font>
      <b/>
      <sz val="10"/>
      <name val="Arial"/>
      <family val="2"/>
    </font>
    <font>
      <sz val="10"/>
      <name val="Times New Roman"/>
      <family val="1"/>
      <charset val="238"/>
    </font>
    <font>
      <sz val="10"/>
      <name val="Calibri"/>
      <family val="2"/>
      <charset val="238"/>
      <scheme val="minor"/>
    </font>
    <font>
      <sz val="20"/>
      <name val="Calibri"/>
      <family val="2"/>
      <charset val="238"/>
      <scheme val="minor"/>
    </font>
    <font>
      <b/>
      <sz val="10"/>
      <name val="Arial"/>
      <family val="2"/>
      <charset val="238"/>
    </font>
    <font>
      <b/>
      <sz val="11"/>
      <name val="Calibri"/>
      <family val="2"/>
    </font>
    <font>
      <b/>
      <sz val="9"/>
      <color rgb="FF000000"/>
      <name val="Verdana"/>
      <family val="2"/>
    </font>
    <font>
      <b/>
      <sz val="10"/>
      <name val="Tahoma"/>
      <family val="2"/>
    </font>
    <font>
      <sz val="14"/>
      <color theme="0"/>
      <name val="Calibri"/>
      <family val="2"/>
      <charset val="238"/>
      <scheme val="minor"/>
    </font>
    <font>
      <sz val="24"/>
      <name val="Calibri"/>
      <family val="2"/>
      <charset val="238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249977111117893"/>
        <bgColor indexed="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34998626667073579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12">
    <xf numFmtId="0" fontId="0" fillId="0" borderId="0"/>
    <xf numFmtId="164" fontId="6" fillId="0" borderId="0" applyFont="0" applyFill="0" applyBorder="0" applyAlignment="0" applyProtection="0"/>
    <xf numFmtId="0" fontId="9" fillId="0" borderId="0"/>
    <xf numFmtId="0" fontId="8" fillId="0" borderId="0"/>
    <xf numFmtId="0" fontId="20" fillId="0" borderId="0"/>
    <xf numFmtId="0" fontId="5" fillId="0" borderId="0"/>
    <xf numFmtId="0" fontId="6" fillId="0" borderId="0"/>
    <xf numFmtId="0" fontId="4" fillId="0" borderId="0"/>
    <xf numFmtId="0" fontId="2" fillId="0" borderId="0"/>
    <xf numFmtId="0" fontId="6" fillId="0" borderId="0"/>
    <xf numFmtId="0" fontId="1" fillId="0" borderId="0"/>
    <xf numFmtId="0" fontId="1" fillId="0" borderId="0"/>
  </cellStyleXfs>
  <cellXfs count="306">
    <xf numFmtId="0" fontId="0" fillId="0" borderId="0" xfId="0"/>
    <xf numFmtId="0" fontId="11" fillId="0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2" fillId="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3" fillId="2" borderId="2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right" vertical="center"/>
    </xf>
    <xf numFmtId="0" fontId="14" fillId="0" borderId="0" xfId="0" applyFont="1" applyFill="1" applyBorder="1" applyAlignment="1">
      <alignment horizontal="right" vertical="center" wrapText="1"/>
    </xf>
    <xf numFmtId="0" fontId="15" fillId="3" borderId="0" xfId="0" applyFont="1" applyFill="1" applyAlignment="1">
      <alignment horizontal="left" vertical="center"/>
    </xf>
    <xf numFmtId="0" fontId="16" fillId="4" borderId="0" xfId="0" applyFont="1" applyFill="1" applyAlignment="1">
      <alignment horizontal="left" vertical="center"/>
    </xf>
    <xf numFmtId="0" fontId="17" fillId="2" borderId="0" xfId="0" applyFont="1" applyFill="1" applyAlignment="1">
      <alignment horizontal="left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4" borderId="0" xfId="0" applyFill="1" applyAlignment="1">
      <alignment horizontal="left"/>
    </xf>
    <xf numFmtId="0" fontId="19" fillId="5" borderId="6" xfId="0" applyFont="1" applyFill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3" fillId="2" borderId="1" xfId="0" applyFont="1" applyFill="1" applyBorder="1"/>
    <xf numFmtId="0" fontId="21" fillId="6" borderId="1" xfId="4" applyFont="1" applyFill="1" applyBorder="1" applyAlignment="1">
      <alignment horizontal="center"/>
    </xf>
    <xf numFmtId="0" fontId="13" fillId="7" borderId="1" xfId="0" applyFont="1" applyFill="1" applyBorder="1" applyAlignment="1"/>
    <xf numFmtId="0" fontId="13" fillId="7" borderId="1" xfId="0" applyFont="1" applyFill="1" applyBorder="1" applyAlignment="1">
      <alignment horizontal="center"/>
    </xf>
    <xf numFmtId="0" fontId="21" fillId="6" borderId="1" xfId="4" applyNumberFormat="1" applyFont="1" applyFill="1" applyBorder="1" applyAlignment="1">
      <alignment horizontal="center"/>
    </xf>
    <xf numFmtId="0" fontId="13" fillId="2" borderId="0" xfId="0" applyFont="1" applyFill="1"/>
    <xf numFmtId="0" fontId="21" fillId="0" borderId="7" xfId="4" applyNumberFormat="1" applyFont="1" applyFill="1" applyBorder="1" applyAlignment="1">
      <alignment horizontal="left"/>
    </xf>
    <xf numFmtId="0" fontId="21" fillId="0" borderId="7" xfId="4" applyFont="1" applyFill="1" applyBorder="1" applyAlignment="1">
      <alignment horizontal="left"/>
    </xf>
    <xf numFmtId="0" fontId="13" fillId="0" borderId="0" xfId="0" applyFont="1"/>
    <xf numFmtId="0" fontId="21" fillId="0" borderId="8" xfId="4" applyNumberFormat="1" applyFont="1" applyFill="1" applyBorder="1" applyAlignment="1">
      <alignment horizontal="left"/>
    </xf>
    <xf numFmtId="0" fontId="21" fillId="0" borderId="8" xfId="4" applyFont="1" applyFill="1" applyBorder="1" applyAlignment="1">
      <alignment horizontal="left"/>
    </xf>
    <xf numFmtId="0" fontId="13" fillId="0" borderId="8" xfId="0" applyFont="1" applyBorder="1" applyAlignment="1">
      <alignment horizontal="center"/>
    </xf>
    <xf numFmtId="0" fontId="13" fillId="0" borderId="8" xfId="0" applyFont="1" applyBorder="1"/>
    <xf numFmtId="0" fontId="13" fillId="0" borderId="0" xfId="0" applyFont="1" applyFill="1"/>
    <xf numFmtId="0" fontId="21" fillId="0" borderId="9" xfId="4" applyNumberFormat="1" applyFont="1" applyFill="1" applyBorder="1" applyAlignment="1">
      <alignment horizontal="left"/>
    </xf>
    <xf numFmtId="0" fontId="21" fillId="0" borderId="9" xfId="4" applyFont="1" applyFill="1" applyBorder="1" applyAlignment="1">
      <alignment horizontal="left"/>
    </xf>
    <xf numFmtId="0" fontId="13" fillId="2" borderId="0" xfId="0" applyFont="1" applyFill="1" applyBorder="1"/>
    <xf numFmtId="0" fontId="21" fillId="0" borderId="0" xfId="4" applyNumberFormat="1" applyFont="1" applyFill="1" applyBorder="1" applyAlignment="1">
      <alignment horizontal="left"/>
    </xf>
    <xf numFmtId="0" fontId="21" fillId="0" borderId="0" xfId="4" applyFont="1" applyFill="1" applyBorder="1" applyAlignment="1">
      <alignment horizontal="left"/>
    </xf>
    <xf numFmtId="0" fontId="11" fillId="2" borderId="0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0" fillId="8" borderId="0" xfId="0" applyFont="1" applyFill="1"/>
    <xf numFmtId="0" fontId="13" fillId="0" borderId="0" xfId="0" applyFont="1" applyFill="1" applyBorder="1"/>
    <xf numFmtId="0" fontId="13" fillId="2" borderId="0" xfId="0" applyFont="1" applyFill="1" applyBorder="1" applyAlignment="1">
      <alignment horizontal="center" vertical="center"/>
    </xf>
    <xf numFmtId="0" fontId="13" fillId="0" borderId="0" xfId="0" applyFont="1" applyFill="1" applyBorder="1" applyAlignment="1">
      <alignment horizontal="center"/>
    </xf>
    <xf numFmtId="0" fontId="13" fillId="0" borderId="0" xfId="0" applyFont="1" applyFill="1" applyBorder="1" applyAlignment="1">
      <alignment horizontal="left" vertical="center"/>
    </xf>
    <xf numFmtId="0" fontId="19" fillId="2" borderId="5" xfId="0" applyFont="1" applyFill="1" applyBorder="1" applyAlignment="1">
      <alignment horizontal="center" vertical="center"/>
    </xf>
    <xf numFmtId="0" fontId="22" fillId="0" borderId="10" xfId="0" applyFont="1" applyBorder="1" applyAlignment="1">
      <alignment vertical="center"/>
    </xf>
    <xf numFmtId="0" fontId="23" fillId="3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0" fontId="12" fillId="10" borderId="1" xfId="0" applyFont="1" applyFill="1" applyBorder="1" applyAlignment="1">
      <alignment horizontal="center" vertical="center"/>
    </xf>
    <xf numFmtId="0" fontId="11" fillId="0" borderId="11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 wrapText="1"/>
    </xf>
    <xf numFmtId="0" fontId="11" fillId="0" borderId="1" xfId="0" applyFont="1" applyFill="1" applyBorder="1" applyAlignment="1">
      <alignment horizontal="right"/>
    </xf>
    <xf numFmtId="0" fontId="24" fillId="2" borderId="13" xfId="0" applyFont="1" applyFill="1" applyBorder="1" applyAlignment="1">
      <alignment horizontal="left"/>
    </xf>
    <xf numFmtId="0" fontId="25" fillId="0" borderId="0" xfId="0" applyFont="1"/>
    <xf numFmtId="0" fontId="25" fillId="12" borderId="0" xfId="0" applyFont="1" applyFill="1" applyAlignment="1">
      <alignment horizontal="left" indent="2"/>
    </xf>
    <xf numFmtId="0" fontId="26" fillId="4" borderId="0" xfId="0" applyFont="1" applyFill="1"/>
    <xf numFmtId="0" fontId="24" fillId="11" borderId="0" xfId="0" applyFont="1" applyFill="1" applyAlignment="1">
      <alignment horizontal="left" indent="1"/>
    </xf>
    <xf numFmtId="0" fontId="25" fillId="0" borderId="0" xfId="0" applyFont="1" applyAlignment="1">
      <alignment horizontal="left" indent="3"/>
    </xf>
    <xf numFmtId="0" fontId="25" fillId="0" borderId="0" xfId="0" applyFont="1" applyAlignment="1">
      <alignment horizontal="left"/>
    </xf>
    <xf numFmtId="0" fontId="27" fillId="0" borderId="0" xfId="0" applyFont="1"/>
    <xf numFmtId="0" fontId="6" fillId="0" borderId="0" xfId="0" applyFont="1"/>
    <xf numFmtId="0" fontId="27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29" fillId="0" borderId="0" xfId="0" applyFont="1" applyAlignment="1">
      <alignment horizontal="left" vertical="center" indent="2"/>
    </xf>
    <xf numFmtId="0" fontId="27" fillId="0" borderId="0" xfId="0" applyFont="1" applyBorder="1" applyAlignment="1">
      <alignment vertical="center" wrapText="1"/>
    </xf>
    <xf numFmtId="0" fontId="0" fillId="0" borderId="0" xfId="0" applyBorder="1"/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horizontal="left" vertical="center" indent="2"/>
    </xf>
    <xf numFmtId="0" fontId="29" fillId="0" borderId="14" xfId="0" applyFont="1" applyBorder="1" applyAlignment="1">
      <alignment vertical="center"/>
    </xf>
    <xf numFmtId="0" fontId="29" fillId="0" borderId="14" xfId="0" applyFont="1" applyBorder="1"/>
    <xf numFmtId="0" fontId="30" fillId="0" borderId="0" xfId="0" applyFont="1" applyBorder="1" applyAlignment="1">
      <alignment horizontal="center"/>
    </xf>
    <xf numFmtId="0" fontId="29" fillId="0" borderId="0" xfId="0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left"/>
    </xf>
    <xf numFmtId="0" fontId="0" fillId="0" borderId="1" xfId="0" applyFont="1" applyBorder="1" applyAlignment="1">
      <alignment horizontal="left" wrapText="1"/>
    </xf>
    <xf numFmtId="0" fontId="0" fillId="0" borderId="1" xfId="0" applyFont="1" applyBorder="1" applyAlignment="1">
      <alignment horizontal="left" vertical="center"/>
    </xf>
    <xf numFmtId="0" fontId="0" fillId="0" borderId="1" xfId="0" applyFont="1" applyBorder="1" applyAlignment="1">
      <alignment horizontal="left" vertical="center" wrapText="1"/>
    </xf>
    <xf numFmtId="0" fontId="31" fillId="0" borderId="1" xfId="0" applyFont="1" applyBorder="1" applyAlignment="1">
      <alignment horizontal="left" wrapText="1"/>
    </xf>
    <xf numFmtId="0" fontId="0" fillId="0" borderId="1" xfId="0" applyFont="1" applyBorder="1"/>
    <xf numFmtId="0" fontId="0" fillId="0" borderId="1" xfId="0" applyFont="1" applyBorder="1" applyAlignment="1">
      <alignment vertical="center"/>
    </xf>
    <xf numFmtId="0" fontId="31" fillId="0" borderId="1" xfId="0" applyFont="1" applyBorder="1" applyAlignment="1">
      <alignment horizontal="left"/>
    </xf>
    <xf numFmtId="0" fontId="0" fillId="0" borderId="1" xfId="0" applyFont="1" applyBorder="1" applyAlignment="1">
      <alignment wrapText="1"/>
    </xf>
    <xf numFmtId="0" fontId="31" fillId="0" borderId="1" xfId="0" applyFont="1" applyBorder="1" applyAlignment="1">
      <alignment horizontal="left" vertical="center"/>
    </xf>
    <xf numFmtId="0" fontId="31" fillId="0" borderId="1" xfId="0" applyFont="1" applyBorder="1" applyAlignment="1">
      <alignment horizontal="left" vertical="center" wrapText="1"/>
    </xf>
    <xf numFmtId="0" fontId="0" fillId="0" borderId="0" xfId="0" applyFont="1" applyAlignment="1">
      <alignment horizontal="left" wrapText="1"/>
    </xf>
    <xf numFmtId="0" fontId="34" fillId="0" borderId="1" xfId="0" applyFont="1" applyBorder="1" applyAlignment="1">
      <alignment horizontal="left"/>
    </xf>
    <xf numFmtId="0" fontId="34" fillId="0" borderId="1" xfId="0" applyFont="1" applyBorder="1" applyAlignment="1">
      <alignment horizontal="left" vertical="center"/>
    </xf>
    <xf numFmtId="0" fontId="34" fillId="0" borderId="1" xfId="0" applyFont="1" applyBorder="1" applyAlignment="1">
      <alignment horizontal="left" vertical="center" wrapText="1"/>
    </xf>
    <xf numFmtId="0" fontId="31" fillId="0" borderId="0" xfId="0" applyFont="1" applyBorder="1" applyAlignment="1">
      <alignment horizontal="left"/>
    </xf>
    <xf numFmtId="0" fontId="36" fillId="0" borderId="0" xfId="0" applyFont="1" applyBorder="1"/>
    <xf numFmtId="0" fontId="31" fillId="0" borderId="0" xfId="0" applyFont="1" applyBorder="1" applyAlignment="1">
      <alignment horizontal="left" vertical="center"/>
    </xf>
    <xf numFmtId="0" fontId="36" fillId="0" borderId="1" xfId="0" applyFont="1" applyBorder="1"/>
    <xf numFmtId="0" fontId="36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left" wrapText="1"/>
    </xf>
    <xf numFmtId="0" fontId="33" fillId="0" borderId="1" xfId="0" applyFont="1" applyFill="1" applyBorder="1" applyAlignment="1">
      <alignment horizontal="center" vertical="center" wrapText="1"/>
    </xf>
    <xf numFmtId="49" fontId="36" fillId="0" borderId="1" xfId="0" applyNumberFormat="1" applyFont="1" applyBorder="1" applyAlignment="1">
      <alignment horizontal="left"/>
    </xf>
    <xf numFmtId="0" fontId="31" fillId="0" borderId="1" xfId="0" applyFont="1" applyFill="1" applyBorder="1" applyAlignment="1">
      <alignment horizontal="left" vertical="center" wrapText="1"/>
    </xf>
    <xf numFmtId="1" fontId="31" fillId="0" borderId="1" xfId="0" applyNumberFormat="1" applyFont="1" applyBorder="1" applyAlignment="1">
      <alignment horizontal="left" wrapText="1"/>
    </xf>
    <xf numFmtId="0" fontId="31" fillId="0" borderId="1" xfId="0" applyNumberFormat="1" applyFont="1" applyBorder="1" applyAlignment="1">
      <alignment horizontal="left"/>
    </xf>
    <xf numFmtId="3" fontId="36" fillId="0" borderId="1" xfId="0" applyNumberFormat="1" applyFont="1" applyBorder="1" applyAlignment="1">
      <alignment wrapText="1"/>
    </xf>
    <xf numFmtId="3" fontId="31" fillId="0" borderId="1" xfId="0" applyNumberFormat="1" applyFont="1" applyFill="1" applyBorder="1" applyAlignment="1">
      <alignment horizontal="left" vertical="center" wrapText="1"/>
    </xf>
    <xf numFmtId="0" fontId="31" fillId="0" borderId="1" xfId="0" applyFont="1" applyFill="1" applyBorder="1" applyAlignment="1">
      <alignment horizontal="left"/>
    </xf>
    <xf numFmtId="0" fontId="31" fillId="0" borderId="1" xfId="0" applyFont="1" applyFill="1" applyBorder="1" applyAlignment="1">
      <alignment horizontal="left" wrapText="1"/>
    </xf>
    <xf numFmtId="0" fontId="31" fillId="0" borderId="1" xfId="0" applyFont="1" applyBorder="1"/>
    <xf numFmtId="0" fontId="31" fillId="0" borderId="1" xfId="0" applyFont="1" applyBorder="1" applyAlignment="1">
      <alignment vertical="center" wrapText="1"/>
    </xf>
    <xf numFmtId="0" fontId="31" fillId="0" borderId="1" xfId="0" applyFont="1" applyBorder="1" applyAlignment="1">
      <alignment vertical="center"/>
    </xf>
    <xf numFmtId="0" fontId="31" fillId="0" borderId="1" xfId="0" applyFont="1" applyFill="1" applyBorder="1" applyAlignment="1">
      <alignment horizontal="left" vertical="center"/>
    </xf>
    <xf numFmtId="49" fontId="31" fillId="0" borderId="1" xfId="0" applyNumberFormat="1" applyFont="1" applyBorder="1" applyAlignment="1">
      <alignment horizontal="left"/>
    </xf>
    <xf numFmtId="0" fontId="31" fillId="0" borderId="1" xfId="0" applyFont="1" applyBorder="1" applyAlignment="1">
      <alignment horizontal="left" vertical="top" wrapText="1"/>
    </xf>
    <xf numFmtId="0" fontId="33" fillId="0" borderId="1" xfId="0" applyFont="1" applyBorder="1" applyAlignment="1">
      <alignment horizontal="left"/>
    </xf>
    <xf numFmtId="0" fontId="37" fillId="0" borderId="1" xfId="0" applyFont="1" applyBorder="1" applyAlignment="1">
      <alignment vertical="center"/>
    </xf>
    <xf numFmtId="1" fontId="31" fillId="0" borderId="1" xfId="0" applyNumberFormat="1" applyFont="1" applyFill="1" applyBorder="1" applyAlignment="1">
      <alignment horizontal="left" vertical="center"/>
    </xf>
    <xf numFmtId="1" fontId="31" fillId="0" borderId="1" xfId="0" applyNumberFormat="1" applyFont="1" applyFill="1" applyBorder="1" applyAlignment="1">
      <alignment horizontal="left"/>
    </xf>
    <xf numFmtId="1" fontId="31" fillId="0" borderId="1" xfId="0" applyNumberFormat="1" applyFont="1" applyFill="1" applyBorder="1" applyAlignment="1">
      <alignment horizontal="left" wrapText="1"/>
    </xf>
    <xf numFmtId="0" fontId="31" fillId="0" borderId="1" xfId="0" applyFont="1" applyFill="1" applyBorder="1" applyAlignment="1"/>
    <xf numFmtId="1" fontId="31" fillId="0" borderId="1" xfId="0" applyNumberFormat="1" applyFont="1" applyFill="1" applyBorder="1" applyAlignment="1">
      <alignment horizontal="left" vertical="center" wrapText="1"/>
    </xf>
    <xf numFmtId="0" fontId="31" fillId="0" borderId="1" xfId="0" applyFont="1" applyFill="1" applyBorder="1" applyAlignment="1">
      <alignment wrapText="1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1" fontId="31" fillId="0" borderId="1" xfId="0" applyNumberFormat="1" applyFont="1" applyFill="1" applyBorder="1" applyAlignment="1">
      <alignment wrapText="1"/>
    </xf>
    <xf numFmtId="0" fontId="33" fillId="0" borderId="1" xfId="0" applyFont="1" applyFill="1" applyBorder="1" applyAlignment="1">
      <alignment horizontal="center"/>
    </xf>
    <xf numFmtId="1" fontId="33" fillId="0" borderId="1" xfId="0" applyNumberFormat="1" applyFont="1" applyFill="1" applyBorder="1" applyAlignment="1">
      <alignment horizontal="center"/>
    </xf>
    <xf numFmtId="0" fontId="33" fillId="0" borderId="1" xfId="0" applyFont="1" applyFill="1" applyBorder="1" applyAlignment="1">
      <alignment horizontal="center" vertical="center"/>
    </xf>
    <xf numFmtId="0" fontId="38" fillId="0" borderId="0" xfId="0" applyFont="1"/>
    <xf numFmtId="0" fontId="33" fillId="13" borderId="1" xfId="0" applyFont="1" applyFill="1" applyBorder="1" applyAlignment="1"/>
    <xf numFmtId="0" fontId="33" fillId="13" borderId="1" xfId="0" applyFont="1" applyFill="1" applyBorder="1" applyAlignment="1">
      <alignment vertical="center" wrapText="1"/>
    </xf>
    <xf numFmtId="0" fontId="33" fillId="13" borderId="1" xfId="0" applyFont="1" applyFill="1" applyBorder="1" applyAlignment="1">
      <alignment vertical="center"/>
    </xf>
    <xf numFmtId="0" fontId="35" fillId="13" borderId="4" xfId="0" applyFont="1" applyFill="1" applyBorder="1" applyAlignment="1">
      <alignment vertical="center" wrapText="1"/>
    </xf>
    <xf numFmtId="0" fontId="32" fillId="13" borderId="2" xfId="0" applyFont="1" applyFill="1" applyBorder="1" applyAlignment="1">
      <alignment vertical="center"/>
    </xf>
    <xf numFmtId="0" fontId="32" fillId="13" borderId="18" xfId="0" applyFont="1" applyFill="1" applyBorder="1" applyAlignment="1">
      <alignment vertical="center"/>
    </xf>
    <xf numFmtId="0" fontId="32" fillId="13" borderId="17" xfId="0" applyFont="1" applyFill="1" applyBorder="1" applyAlignment="1">
      <alignment vertical="center"/>
    </xf>
    <xf numFmtId="0" fontId="39" fillId="0" borderId="0" xfId="0" applyFont="1" applyAlignment="1">
      <alignment horizontal="right"/>
    </xf>
    <xf numFmtId="0" fontId="39" fillId="0" borderId="0" xfId="0" applyFont="1" applyFill="1" applyBorder="1" applyAlignment="1">
      <alignment horizontal="right" vertical="center"/>
    </xf>
    <xf numFmtId="0" fontId="39" fillId="0" borderId="0" xfId="0" applyFont="1" applyFill="1" applyBorder="1" applyAlignment="1">
      <alignment horizontal="right" vertical="center" wrapText="1"/>
    </xf>
    <xf numFmtId="0" fontId="39" fillId="14" borderId="0" xfId="0" applyFont="1" applyFill="1" applyBorder="1" applyAlignment="1">
      <alignment horizontal="right" vertical="center"/>
    </xf>
    <xf numFmtId="0" fontId="43" fillId="0" borderId="0" xfId="0" applyFont="1"/>
    <xf numFmtId="0" fontId="14" fillId="0" borderId="0" xfId="0" applyFont="1" applyFill="1" applyBorder="1" applyAlignment="1">
      <alignment horizontal="right" vertical="center" wrapText="1"/>
    </xf>
    <xf numFmtId="0" fontId="27" fillId="2" borderId="0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30" fillId="0" borderId="0" xfId="0" applyFont="1" applyBorder="1" applyAlignment="1">
      <alignment horizontal="center" wrapText="1"/>
    </xf>
    <xf numFmtId="0" fontId="0" fillId="0" borderId="0" xfId="0" applyAlignment="1">
      <alignment horizontal="left" wrapText="1"/>
    </xf>
    <xf numFmtId="0" fontId="6" fillId="0" borderId="0" xfId="0" applyFont="1" applyAlignment="1">
      <alignment wrapText="1"/>
    </xf>
    <xf numFmtId="0" fontId="0" fillId="0" borderId="0" xfId="0" applyFill="1"/>
    <xf numFmtId="0" fontId="15" fillId="9" borderId="0" xfId="0" applyFont="1" applyFill="1" applyAlignment="1">
      <alignment horizontal="left" vertical="center"/>
    </xf>
    <xf numFmtId="0" fontId="49" fillId="0" borderId="0" xfId="0" applyFont="1" applyFill="1" applyAlignment="1">
      <alignment horizontal="center" vertical="center" wrapText="1"/>
    </xf>
    <xf numFmtId="0" fontId="0" fillId="0" borderId="17" xfId="0" applyFont="1" applyBorder="1" applyAlignment="1">
      <alignment wrapText="1"/>
    </xf>
    <xf numFmtId="0" fontId="43" fillId="0" borderId="0" xfId="0" applyFont="1" applyAlignment="1">
      <alignment horizontal="center"/>
    </xf>
    <xf numFmtId="0" fontId="27" fillId="0" borderId="0" xfId="0" applyFont="1" applyFill="1" applyAlignment="1">
      <alignment horizontal="center" vertical="center" wrapText="1"/>
    </xf>
    <xf numFmtId="0" fontId="51" fillId="0" borderId="0" xfId="0" applyFont="1" applyFill="1" applyAlignment="1">
      <alignment horizontal="center" vertical="center" wrapText="1"/>
    </xf>
    <xf numFmtId="0" fontId="29" fillId="0" borderId="0" xfId="0" applyFont="1" applyBorder="1"/>
    <xf numFmtId="0" fontId="29" fillId="0" borderId="0" xfId="0" applyFont="1" applyBorder="1" applyAlignment="1">
      <alignment horizontal="left" vertical="center" indent="2"/>
    </xf>
    <xf numFmtId="0" fontId="51" fillId="0" borderId="0" xfId="0" applyFont="1" applyFill="1" applyBorder="1" applyAlignment="1">
      <alignment horizontal="center" vertical="center" wrapText="1"/>
    </xf>
    <xf numFmtId="0" fontId="6" fillId="0" borderId="0" xfId="0" applyFont="1" applyFill="1"/>
    <xf numFmtId="49" fontId="6" fillId="0" borderId="0" xfId="0" applyNumberFormat="1" applyFont="1" applyFill="1"/>
    <xf numFmtId="0" fontId="31" fillId="4" borderId="1" xfId="0" applyFont="1" applyFill="1" applyBorder="1" applyAlignment="1">
      <alignment horizontal="left" vertical="center" wrapText="1"/>
    </xf>
    <xf numFmtId="0" fontId="0" fillId="11" borderId="0" xfId="0" applyFill="1"/>
    <xf numFmtId="0" fontId="0" fillId="11" borderId="0" xfId="0" applyFont="1" applyFill="1" applyBorder="1" applyAlignment="1">
      <alignment horizontal="left" vertical="center"/>
    </xf>
    <xf numFmtId="0" fontId="6" fillId="11" borderId="0" xfId="0" applyFont="1" applyFill="1" applyBorder="1" applyAlignment="1">
      <alignment horizontal="left" vertical="center"/>
    </xf>
    <xf numFmtId="0" fontId="6" fillId="11" borderId="0" xfId="0" applyFont="1" applyFill="1" applyAlignment="1">
      <alignment horizontal="left" wrapText="1"/>
    </xf>
    <xf numFmtId="0" fontId="0" fillId="11" borderId="0" xfId="0" applyFont="1" applyFill="1" applyBorder="1" applyAlignment="1">
      <alignment horizontal="left" vertical="center" wrapText="1"/>
    </xf>
    <xf numFmtId="0" fontId="6" fillId="11" borderId="0" xfId="0" applyFont="1" applyFill="1" applyBorder="1" applyAlignment="1">
      <alignment horizontal="left" vertical="center" wrapText="1"/>
    </xf>
    <xf numFmtId="0" fontId="6" fillId="11" borderId="0" xfId="0" applyFont="1" applyFill="1" applyAlignment="1">
      <alignment wrapText="1"/>
    </xf>
    <xf numFmtId="0" fontId="6" fillId="11" borderId="0" xfId="0" applyFont="1" applyFill="1"/>
    <xf numFmtId="0" fontId="0" fillId="11" borderId="0" xfId="0" applyFill="1" applyAlignment="1">
      <alignment horizontal="left"/>
    </xf>
    <xf numFmtId="0" fontId="6" fillId="11" borderId="0" xfId="0" applyFont="1" applyFill="1" applyAlignment="1">
      <alignment horizontal="left"/>
    </xf>
    <xf numFmtId="49" fontId="6" fillId="11" borderId="0" xfId="0" applyNumberFormat="1" applyFont="1" applyFill="1"/>
    <xf numFmtId="0" fontId="27" fillId="8" borderId="0" xfId="0" applyFont="1" applyFill="1" applyBorder="1" applyAlignment="1">
      <alignment horizontal="center" vertical="center" wrapText="1"/>
    </xf>
    <xf numFmtId="0" fontId="29" fillId="15" borderId="0" xfId="0" applyFont="1" applyFill="1" applyBorder="1" applyAlignment="1">
      <alignment horizontal="center" vertical="center" wrapText="1"/>
    </xf>
    <xf numFmtId="0" fontId="27" fillId="15" borderId="0" xfId="0" applyFont="1" applyFill="1" applyBorder="1" applyAlignment="1">
      <alignment horizontal="center" vertical="center" wrapText="1"/>
    </xf>
    <xf numFmtId="0" fontId="29" fillId="8" borderId="0" xfId="0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center" vertical="center" wrapText="1"/>
    </xf>
    <xf numFmtId="0" fontId="0" fillId="0" borderId="0" xfId="0"/>
    <xf numFmtId="0" fontId="27" fillId="0" borderId="0" xfId="0" applyFont="1" applyFill="1" applyBorder="1" applyAlignment="1">
      <alignment horizontal="center" vertical="center" wrapText="1"/>
    </xf>
    <xf numFmtId="0" fontId="0" fillId="0" borderId="0" xfId="0" pivotButton="1" applyAlignment="1">
      <alignment horizontal="center"/>
    </xf>
    <xf numFmtId="0" fontId="0" fillId="0" borderId="0" xfId="0" applyAlignment="1">
      <alignment horizontal="center"/>
    </xf>
    <xf numFmtId="0" fontId="0" fillId="15" borderId="0" xfId="0" applyFill="1" applyAlignment="1">
      <alignment horizontal="center"/>
    </xf>
    <xf numFmtId="0" fontId="41" fillId="3" borderId="0" xfId="0" applyFont="1" applyFill="1" applyAlignment="1">
      <alignment horizontal="center" vertical="center" wrapText="1"/>
    </xf>
    <xf numFmtId="0" fontId="53" fillId="0" borderId="0" xfId="0" applyFont="1" applyFill="1" applyBorder="1" applyAlignment="1">
      <alignment horizontal="center" vertical="center" wrapText="1"/>
    </xf>
    <xf numFmtId="0" fontId="53" fillId="15" borderId="0" xfId="0" applyFont="1" applyFill="1" applyBorder="1" applyAlignment="1">
      <alignment horizontal="center" vertical="center" wrapText="1"/>
    </xf>
    <xf numFmtId="0" fontId="53" fillId="8" borderId="0" xfId="0" applyFont="1" applyFill="1" applyBorder="1" applyAlignment="1">
      <alignment horizontal="center" vertical="center" wrapText="1"/>
    </xf>
    <xf numFmtId="0" fontId="27" fillId="9" borderId="0" xfId="0" applyFont="1" applyFill="1" applyBorder="1" applyAlignment="1">
      <alignment horizontal="center" vertical="center" wrapText="1"/>
    </xf>
    <xf numFmtId="0" fontId="45" fillId="0" borderId="4" xfId="0" applyFont="1" applyFill="1" applyBorder="1" applyAlignment="1">
      <alignment horizontal="center" vertical="center" wrapText="1"/>
    </xf>
    <xf numFmtId="0" fontId="45" fillId="0" borderId="0" xfId="0" applyFont="1" applyFill="1" applyBorder="1" applyAlignment="1">
      <alignment horizontal="center" vertical="center" wrapText="1"/>
    </xf>
    <xf numFmtId="0" fontId="27" fillId="0" borderId="0" xfId="2" applyFont="1" applyFill="1" applyBorder="1" applyAlignment="1">
      <alignment horizontal="center" vertical="center" wrapText="1"/>
    </xf>
    <xf numFmtId="0" fontId="27" fillId="8" borderId="0" xfId="2" applyFont="1" applyFill="1" applyBorder="1" applyAlignment="1">
      <alignment horizontal="center" vertical="center" wrapText="1"/>
    </xf>
    <xf numFmtId="0" fontId="45" fillId="8" borderId="0" xfId="0" applyFont="1" applyFill="1" applyBorder="1" applyAlignment="1">
      <alignment horizontal="center" vertical="center" wrapText="1"/>
    </xf>
    <xf numFmtId="0" fontId="29" fillId="8" borderId="0" xfId="0" applyNumberFormat="1" applyFont="1" applyFill="1" applyBorder="1" applyAlignment="1">
      <alignment horizontal="center" vertical="center" wrapText="1"/>
    </xf>
    <xf numFmtId="0" fontId="53" fillId="8" borderId="0" xfId="0" applyNumberFormat="1" applyFont="1" applyFill="1" applyBorder="1" applyAlignment="1">
      <alignment horizontal="center" vertical="center" wrapText="1"/>
    </xf>
    <xf numFmtId="0" fontId="51" fillId="8" borderId="0" xfId="0" applyFont="1" applyFill="1" applyBorder="1" applyAlignment="1">
      <alignment horizontal="center" vertical="center" wrapText="1"/>
    </xf>
    <xf numFmtId="0" fontId="27" fillId="8" borderId="0" xfId="0" applyNumberFormat="1" applyFont="1" applyFill="1" applyBorder="1" applyAlignment="1">
      <alignment horizontal="center" vertical="center" wrapText="1"/>
    </xf>
    <xf numFmtId="0" fontId="29" fillId="9" borderId="0" xfId="0" applyNumberFormat="1" applyFont="1" applyFill="1" applyBorder="1" applyAlignment="1">
      <alignment horizontal="center" vertical="center" wrapText="1"/>
    </xf>
    <xf numFmtId="0" fontId="53" fillId="9" borderId="0" xfId="0" applyNumberFormat="1" applyFont="1" applyFill="1" applyBorder="1" applyAlignment="1">
      <alignment horizontal="center" vertical="center" wrapText="1"/>
    </xf>
    <xf numFmtId="0" fontId="29" fillId="9" borderId="0" xfId="0" applyFont="1" applyFill="1" applyBorder="1" applyAlignment="1">
      <alignment horizontal="center" vertical="center" wrapText="1"/>
    </xf>
    <xf numFmtId="0" fontId="45" fillId="9" borderId="0" xfId="0" applyFont="1" applyFill="1" applyBorder="1" applyAlignment="1">
      <alignment horizontal="center" vertical="center" wrapText="1"/>
    </xf>
    <xf numFmtId="0" fontId="27" fillId="9" borderId="0" xfId="0" applyNumberFormat="1" applyFont="1" applyFill="1" applyBorder="1" applyAlignment="1">
      <alignment horizontal="center" vertical="center" wrapText="1"/>
    </xf>
    <xf numFmtId="0" fontId="29" fillId="2" borderId="0" xfId="0" applyNumberFormat="1" applyFont="1" applyFill="1" applyBorder="1" applyAlignment="1">
      <alignment horizontal="center" vertical="center" wrapText="1"/>
    </xf>
    <xf numFmtId="0" fontId="53" fillId="2" borderId="0" xfId="0" applyNumberFormat="1" applyFont="1" applyFill="1" applyBorder="1" applyAlignment="1">
      <alignment horizontal="center" vertical="center" wrapText="1"/>
    </xf>
    <xf numFmtId="0" fontId="29" fillId="2" borderId="0" xfId="0" applyFont="1" applyFill="1" applyBorder="1" applyAlignment="1">
      <alignment horizontal="center" vertical="center" wrapText="1"/>
    </xf>
    <xf numFmtId="0" fontId="45" fillId="2" borderId="0" xfId="0" applyFont="1" applyFill="1" applyBorder="1" applyAlignment="1">
      <alignment horizontal="center" vertical="center" wrapText="1"/>
    </xf>
    <xf numFmtId="0" fontId="27" fillId="2" borderId="0" xfId="0" applyNumberFormat="1" applyFont="1" applyFill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 wrapText="1"/>
    </xf>
    <xf numFmtId="0" fontId="27" fillId="2" borderId="0" xfId="2" applyFont="1" applyFill="1" applyBorder="1" applyAlignment="1">
      <alignment horizontal="center" vertical="center" wrapText="1"/>
    </xf>
    <xf numFmtId="0" fontId="0" fillId="8" borderId="1" xfId="0" applyFont="1" applyFill="1" applyBorder="1" applyAlignment="1">
      <alignment horizontal="center" vertical="center" wrapText="1"/>
    </xf>
    <xf numFmtId="0" fontId="29" fillId="0" borderId="0" xfId="3" applyFont="1" applyFill="1" applyBorder="1" applyAlignment="1">
      <alignment horizontal="center" vertical="center" wrapText="1"/>
    </xf>
    <xf numFmtId="0" fontId="45" fillId="15" borderId="0" xfId="0" applyFont="1" applyFill="1" applyBorder="1" applyAlignment="1">
      <alignment horizontal="center" vertical="center" wrapText="1"/>
    </xf>
    <xf numFmtId="0" fontId="29" fillId="0" borderId="0" xfId="0" applyNumberFormat="1" applyFont="1" applyFill="1" applyBorder="1" applyAlignment="1">
      <alignment horizontal="center" vertical="center" wrapText="1"/>
    </xf>
    <xf numFmtId="0" fontId="53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2" xfId="0" applyFont="1" applyBorder="1" applyAlignment="1">
      <alignment horizontal="center" vertical="center" wrapText="1"/>
    </xf>
    <xf numFmtId="0" fontId="27" fillId="0" borderId="0" xfId="5" applyFont="1" applyFill="1" applyBorder="1" applyAlignment="1">
      <alignment horizontal="center" vertical="center" wrapText="1"/>
    </xf>
    <xf numFmtId="0" fontId="3" fillId="0" borderId="0" xfId="7" applyFont="1" applyAlignment="1">
      <alignment horizontal="center" vertical="center" wrapText="1"/>
    </xf>
    <xf numFmtId="0" fontId="44" fillId="0" borderId="0" xfId="0" applyFont="1" applyFill="1" applyBorder="1" applyAlignment="1">
      <alignment horizontal="center" vertical="center" wrapText="1"/>
    </xf>
    <xf numFmtId="0" fontId="46" fillId="0" borderId="0" xfId="0" applyFont="1" applyAlignment="1">
      <alignment wrapText="1"/>
    </xf>
    <xf numFmtId="0" fontId="47" fillId="0" borderId="0" xfId="0" applyFont="1" applyAlignment="1">
      <alignment wrapText="1"/>
    </xf>
    <xf numFmtId="0" fontId="48" fillId="0" borderId="0" xfId="0" applyFont="1" applyFill="1" applyBorder="1" applyAlignment="1">
      <alignment horizontal="center" vertical="center" wrapText="1"/>
    </xf>
    <xf numFmtId="0" fontId="49" fillId="0" borderId="0" xfId="0" applyFont="1" applyFill="1" applyBorder="1" applyAlignment="1">
      <alignment horizontal="center" vertical="center" wrapText="1"/>
    </xf>
    <xf numFmtId="0" fontId="49" fillId="0" borderId="0" xfId="2" applyFont="1" applyFill="1" applyAlignment="1">
      <alignment horizontal="center" vertical="center" wrapText="1"/>
    </xf>
    <xf numFmtId="0" fontId="48" fillId="8" borderId="0" xfId="0" applyFont="1" applyFill="1" applyBorder="1" applyAlignment="1">
      <alignment horizontal="center" vertical="center" wrapText="1"/>
    </xf>
    <xf numFmtId="0" fontId="49" fillId="8" borderId="0" xfId="0" applyFont="1" applyFill="1" applyBorder="1" applyAlignment="1">
      <alignment horizontal="center" vertical="center" wrapText="1"/>
    </xf>
    <xf numFmtId="0" fontId="49" fillId="8" borderId="0" xfId="2" applyFont="1" applyFill="1" applyAlignment="1">
      <alignment horizontal="center" vertical="center" wrapText="1"/>
    </xf>
    <xf numFmtId="0" fontId="50" fillId="0" borderId="0" xfId="0" applyFont="1" applyFill="1" applyBorder="1" applyAlignment="1">
      <alignment horizontal="center" vertical="center" wrapText="1"/>
    </xf>
    <xf numFmtId="0" fontId="27" fillId="0" borderId="0" xfId="2" applyFont="1" applyFill="1" applyAlignment="1">
      <alignment horizontal="center" vertical="center" wrapText="1"/>
    </xf>
    <xf numFmtId="0" fontId="51" fillId="0" borderId="0" xfId="2" applyFont="1" applyFill="1" applyAlignment="1">
      <alignment horizontal="center" vertical="center" wrapText="1"/>
    </xf>
    <xf numFmtId="0" fontId="27" fillId="0" borderId="0" xfId="9" applyFont="1" applyFill="1" applyBorder="1" applyAlignment="1">
      <alignment horizontal="center" vertical="center" wrapText="1"/>
    </xf>
    <xf numFmtId="0" fontId="54" fillId="0" borderId="0" xfId="0" applyFont="1"/>
    <xf numFmtId="0" fontId="38" fillId="0" borderId="1" xfId="0" applyFont="1" applyBorder="1" applyAlignment="1">
      <alignment vertical="center"/>
    </xf>
    <xf numFmtId="0" fontId="33" fillId="0" borderId="1" xfId="0" applyFont="1" applyBorder="1" applyAlignment="1">
      <alignment horizontal="left" vertical="center"/>
    </xf>
    <xf numFmtId="0" fontId="33" fillId="0" borderId="1" xfId="0" applyFont="1" applyBorder="1" applyAlignment="1">
      <alignment horizontal="left" vertical="center" wrapText="1"/>
    </xf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horizontal="left" vertical="center" wrapText="1"/>
    </xf>
    <xf numFmtId="0" fontId="33" fillId="0" borderId="1" xfId="0" applyFont="1" applyBorder="1" applyAlignment="1">
      <alignment vertical="center" wrapText="1"/>
    </xf>
    <xf numFmtId="0" fontId="56" fillId="0" borderId="1" xfId="0" applyFont="1" applyBorder="1" applyAlignment="1">
      <alignment vertical="center" wrapText="1"/>
    </xf>
    <xf numFmtId="0" fontId="52" fillId="0" borderId="1" xfId="0" applyFont="1" applyBorder="1" applyAlignment="1">
      <alignment vertical="center" wrapText="1"/>
    </xf>
    <xf numFmtId="0" fontId="57" fillId="0" borderId="0" xfId="0" applyFont="1" applyAlignment="1">
      <alignment vertical="center" wrapText="1"/>
    </xf>
    <xf numFmtId="0" fontId="58" fillId="0" borderId="0" xfId="0" applyFont="1" applyAlignment="1">
      <alignment horizontal="left" wrapText="1"/>
    </xf>
    <xf numFmtId="0" fontId="33" fillId="0" borderId="1" xfId="0" applyFont="1" applyFill="1" applyBorder="1" applyAlignment="1">
      <alignment horizontal="left" vertical="center"/>
    </xf>
    <xf numFmtId="0" fontId="52" fillId="0" borderId="0" xfId="0" applyFont="1" applyFill="1" applyBorder="1" applyAlignment="1">
      <alignment horizontal="left" vertical="center" wrapText="1"/>
    </xf>
    <xf numFmtId="0" fontId="59" fillId="0" borderId="1" xfId="0" applyFont="1" applyBorder="1" applyAlignment="1">
      <alignment vertical="center"/>
    </xf>
    <xf numFmtId="0" fontId="59" fillId="0" borderId="0" xfId="0" applyFont="1" applyBorder="1" applyAlignment="1">
      <alignment vertical="center"/>
    </xf>
    <xf numFmtId="0" fontId="35" fillId="0" borderId="1" xfId="0" applyFont="1" applyBorder="1" applyAlignment="1">
      <alignment horizontal="left" vertical="center"/>
    </xf>
    <xf numFmtId="0" fontId="56" fillId="0" borderId="1" xfId="0" applyFont="1" applyBorder="1" applyAlignment="1">
      <alignment horizontal="left" vertical="center"/>
    </xf>
    <xf numFmtId="0" fontId="56" fillId="0" borderId="0" xfId="0" applyFont="1"/>
    <xf numFmtId="0" fontId="56" fillId="0" borderId="1" xfId="0" applyFont="1" applyBorder="1" applyAlignment="1">
      <alignment vertical="center"/>
    </xf>
    <xf numFmtId="0" fontId="56" fillId="0" borderId="1" xfId="0" applyFont="1" applyBorder="1" applyAlignment="1">
      <alignment horizontal="left" vertical="center" wrapText="1"/>
    </xf>
    <xf numFmtId="0" fontId="56" fillId="11" borderId="0" xfId="0" applyFont="1" applyFill="1"/>
    <xf numFmtId="0" fontId="41" fillId="3" borderId="0" xfId="0" applyFont="1" applyFill="1" applyBorder="1" applyAlignment="1">
      <alignment horizontal="center" vertical="center"/>
    </xf>
    <xf numFmtId="0" fontId="61" fillId="3" borderId="0" xfId="0" applyFont="1" applyFill="1" applyAlignment="1">
      <alignment horizontal="center"/>
    </xf>
    <xf numFmtId="0" fontId="54" fillId="3" borderId="0" xfId="0" applyFont="1" applyFill="1"/>
    <xf numFmtId="0" fontId="61" fillId="3" borderId="0" xfId="0" applyFont="1" applyFill="1" applyAlignment="1">
      <alignment horizontal="left"/>
    </xf>
    <xf numFmtId="0" fontId="54" fillId="3" borderId="0" xfId="0" applyFont="1" applyFill="1" applyAlignment="1">
      <alignment horizontal="left"/>
    </xf>
    <xf numFmtId="0" fontId="54" fillId="0" borderId="0" xfId="0" applyFont="1" applyAlignment="1">
      <alignment wrapText="1"/>
    </xf>
    <xf numFmtId="0" fontId="31" fillId="0" borderId="0" xfId="0" applyFont="1" applyBorder="1" applyAlignment="1">
      <alignment horizontal="left" wrapText="1"/>
    </xf>
    <xf numFmtId="49" fontId="33" fillId="0" borderId="1" xfId="0" applyNumberFormat="1" applyFont="1" applyFill="1" applyBorder="1" applyAlignment="1">
      <alignment horizontal="center"/>
    </xf>
    <xf numFmtId="49" fontId="33" fillId="13" borderId="1" xfId="0" applyNumberFormat="1" applyFont="1" applyFill="1" applyBorder="1" applyAlignment="1"/>
    <xf numFmtId="49" fontId="31" fillId="0" borderId="1" xfId="0" applyNumberFormat="1" applyFont="1" applyFill="1" applyBorder="1" applyAlignment="1">
      <alignment horizontal="left" vertical="center" wrapText="1"/>
    </xf>
    <xf numFmtId="49" fontId="31" fillId="0" borderId="1" xfId="0" applyNumberFormat="1" applyFont="1" applyFill="1" applyBorder="1" applyAlignment="1">
      <alignment wrapText="1"/>
    </xf>
    <xf numFmtId="49" fontId="31" fillId="0" borderId="1" xfId="0" applyNumberFormat="1" applyFont="1" applyFill="1" applyBorder="1" applyAlignment="1">
      <alignment horizontal="left" vertical="center"/>
    </xf>
    <xf numFmtId="49" fontId="31" fillId="0" borderId="1" xfId="0" applyNumberFormat="1" applyFont="1" applyFill="1" applyBorder="1" applyAlignment="1">
      <alignment horizontal="left" wrapText="1"/>
    </xf>
    <xf numFmtId="49" fontId="31" fillId="0" borderId="1" xfId="0" applyNumberFormat="1" applyFont="1" applyFill="1" applyBorder="1" applyAlignment="1">
      <alignment horizontal="left"/>
    </xf>
    <xf numFmtId="49" fontId="31" fillId="0" borderId="1" xfId="0" applyNumberFormat="1" applyFont="1" applyBorder="1" applyAlignment="1">
      <alignment horizontal="left" vertical="center"/>
    </xf>
    <xf numFmtId="49" fontId="31" fillId="0" borderId="1" xfId="0" applyNumberFormat="1" applyFont="1" applyBorder="1" applyAlignment="1">
      <alignment horizontal="left" vertical="center" wrapText="1"/>
    </xf>
    <xf numFmtId="49" fontId="0" fillId="0" borderId="1" xfId="0" applyNumberFormat="1" applyFont="1" applyBorder="1" applyAlignment="1">
      <alignment horizontal="left"/>
    </xf>
    <xf numFmtId="49" fontId="33" fillId="13" borderId="1" xfId="0" applyNumberFormat="1" applyFont="1" applyFill="1" applyBorder="1" applyAlignment="1">
      <alignment vertical="center" wrapText="1"/>
    </xf>
    <xf numFmtId="49" fontId="31" fillId="0" borderId="1" xfId="0" applyNumberFormat="1" applyFont="1" applyBorder="1" applyAlignment="1">
      <alignment horizontal="left" vertical="top" wrapText="1"/>
    </xf>
    <xf numFmtId="49" fontId="31" fillId="0" borderId="1" xfId="0" applyNumberFormat="1" applyFont="1" applyBorder="1"/>
    <xf numFmtId="49" fontId="33" fillId="13" borderId="1" xfId="0" applyNumberFormat="1" applyFont="1" applyFill="1" applyBorder="1" applyAlignment="1">
      <alignment vertical="center"/>
    </xf>
    <xf numFmtId="49" fontId="31" fillId="0" borderId="1" xfId="0" applyNumberFormat="1" applyFont="1" applyBorder="1" applyAlignment="1">
      <alignment vertical="center" wrapText="1"/>
    </xf>
    <xf numFmtId="49" fontId="36" fillId="0" borderId="1" xfId="0" applyNumberFormat="1" applyFont="1" applyBorder="1" applyAlignment="1">
      <alignment wrapText="1"/>
    </xf>
    <xf numFmtId="49" fontId="36" fillId="0" borderId="1" xfId="0" applyNumberFormat="1" applyFont="1" applyBorder="1"/>
    <xf numFmtId="49" fontId="36" fillId="0" borderId="0" xfId="0" applyNumberFormat="1" applyFont="1" applyBorder="1"/>
    <xf numFmtId="49" fontId="35" fillId="13" borderId="4" xfId="0" applyNumberFormat="1" applyFont="1" applyFill="1" applyBorder="1" applyAlignment="1">
      <alignment vertical="center" wrapText="1"/>
    </xf>
    <xf numFmtId="49" fontId="34" fillId="0" borderId="1" xfId="0" applyNumberFormat="1" applyFont="1" applyBorder="1" applyAlignment="1">
      <alignment horizontal="left"/>
    </xf>
    <xf numFmtId="49" fontId="0" fillId="0" borderId="0" xfId="0" applyNumberFormat="1" applyAlignment="1">
      <alignment horizontal="center"/>
    </xf>
    <xf numFmtId="49" fontId="32" fillId="13" borderId="18" xfId="0" applyNumberFormat="1" applyFont="1" applyFill="1" applyBorder="1" applyAlignment="1">
      <alignment vertical="center"/>
    </xf>
    <xf numFmtId="49" fontId="0" fillId="0" borderId="1" xfId="0" applyNumberFormat="1" applyFont="1" applyBorder="1" applyAlignment="1">
      <alignment wrapText="1"/>
    </xf>
    <xf numFmtId="49" fontId="0" fillId="0" borderId="1" xfId="0" applyNumberFormat="1" applyFont="1" applyBorder="1" applyAlignment="1">
      <alignment horizontal="left" wrapText="1"/>
    </xf>
    <xf numFmtId="49" fontId="6" fillId="11" borderId="0" xfId="0" applyNumberFormat="1" applyFont="1" applyFill="1" applyAlignment="1">
      <alignment horizontal="left" wrapText="1"/>
    </xf>
    <xf numFmtId="49" fontId="6" fillId="11" borderId="0" xfId="0" applyNumberFormat="1" applyFont="1" applyFill="1" applyAlignment="1">
      <alignment wrapText="1"/>
    </xf>
    <xf numFmtId="49" fontId="0" fillId="11" borderId="0" xfId="0" applyNumberFormat="1" applyFill="1" applyAlignment="1">
      <alignment horizontal="left"/>
    </xf>
    <xf numFmtId="49" fontId="6" fillId="11" borderId="0" xfId="0" applyNumberFormat="1" applyFont="1" applyFill="1" applyAlignment="1">
      <alignment horizontal="left"/>
    </xf>
    <xf numFmtId="49" fontId="0" fillId="0" borderId="0" xfId="0" applyNumberFormat="1"/>
    <xf numFmtId="49" fontId="31" fillId="0" borderId="0" xfId="0" applyNumberFormat="1" applyFont="1" applyBorder="1" applyAlignment="1">
      <alignment horizontal="left" wrapText="1"/>
    </xf>
    <xf numFmtId="49" fontId="38" fillId="0" borderId="0" xfId="0" applyNumberFormat="1" applyFont="1"/>
    <xf numFmtId="49" fontId="38" fillId="0" borderId="1" xfId="0" applyNumberFormat="1" applyFont="1" applyBorder="1" applyAlignment="1">
      <alignment wrapText="1"/>
    </xf>
    <xf numFmtId="0" fontId="42" fillId="14" borderId="0" xfId="0" applyFont="1" applyFill="1" applyAlignment="1">
      <alignment horizontal="left" vertical="center" wrapText="1"/>
    </xf>
    <xf numFmtId="0" fontId="40" fillId="16" borderId="0" xfId="0" applyNumberFormat="1" applyFont="1" applyFill="1" applyBorder="1" applyAlignment="1">
      <alignment horizontal="center" vertical="center"/>
    </xf>
    <xf numFmtId="0" fontId="60" fillId="16" borderId="0" xfId="0" applyFont="1" applyFill="1" applyBorder="1" applyAlignment="1">
      <alignment horizontal="center" vertical="center" wrapText="1"/>
    </xf>
    <xf numFmtId="0" fontId="42" fillId="3" borderId="0" xfId="0" applyFont="1" applyFill="1" applyAlignment="1">
      <alignment horizontal="left" vertical="center" wrapText="1"/>
    </xf>
    <xf numFmtId="0" fontId="55" fillId="4" borderId="0" xfId="0" applyFont="1" applyFill="1" applyBorder="1" applyAlignment="1">
      <alignment horizontal="left"/>
    </xf>
    <xf numFmtId="0" fontId="30" fillId="0" borderId="15" xfId="0" applyFont="1" applyBorder="1" applyAlignment="1">
      <alignment horizontal="center"/>
    </xf>
    <xf numFmtId="0" fontId="30" fillId="0" borderId="19" xfId="0" applyFont="1" applyBorder="1" applyAlignment="1">
      <alignment horizontal="center"/>
    </xf>
    <xf numFmtId="0" fontId="30" fillId="0" borderId="16" xfId="0" applyFont="1" applyBorder="1" applyAlignment="1">
      <alignment horizontal="center"/>
    </xf>
    <xf numFmtId="0" fontId="30" fillId="0" borderId="3" xfId="0" applyFont="1" applyBorder="1" applyAlignment="1">
      <alignment horizontal="center"/>
    </xf>
    <xf numFmtId="0" fontId="30" fillId="0" borderId="20" xfId="0" applyFont="1" applyBorder="1" applyAlignment="1">
      <alignment horizontal="center"/>
    </xf>
    <xf numFmtId="0" fontId="30" fillId="0" borderId="12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Fill="1" applyAlignment="1">
      <alignment horizontal="center" vertical="center"/>
    </xf>
    <xf numFmtId="0" fontId="40" fillId="2" borderId="0" xfId="0" applyFont="1" applyFill="1" applyAlignment="1">
      <alignment horizontal="left" vertical="center" wrapText="1"/>
    </xf>
    <xf numFmtId="0" fontId="41" fillId="3" borderId="0" xfId="0" applyFont="1" applyFill="1" applyAlignment="1">
      <alignment horizontal="left" vertical="center" wrapText="1"/>
    </xf>
    <xf numFmtId="0" fontId="41" fillId="3" borderId="0" xfId="0" applyFont="1" applyFill="1" applyAlignment="1">
      <alignment horizontal="left" wrapText="1"/>
    </xf>
    <xf numFmtId="0" fontId="55" fillId="4" borderId="0" xfId="0" applyFont="1" applyFill="1" applyBorder="1" applyAlignment="1">
      <alignment horizontal="left" vertical="center"/>
    </xf>
    <xf numFmtId="0" fontId="41" fillId="3" borderId="0" xfId="0" applyFont="1" applyFill="1" applyAlignment="1">
      <alignment horizontal="left"/>
    </xf>
    <xf numFmtId="0" fontId="52" fillId="17" borderId="21" xfId="0" applyFont="1" applyFill="1" applyBorder="1" applyAlignment="1">
      <alignment horizontal="left"/>
    </xf>
  </cellXfs>
  <cellStyles count="12">
    <cellStyle name="Euro" xfId="1" xr:uid="{00000000-0005-0000-0000-000000000000}"/>
    <cellStyle name="Normalny" xfId="0" builtinId="0"/>
    <cellStyle name="Normalny 2" xfId="5" xr:uid="{00000000-0005-0000-0000-000002000000}"/>
    <cellStyle name="Normalny 2 2" xfId="10" xr:uid="{00000000-0005-0000-0000-000003000000}"/>
    <cellStyle name="Normalny 3" xfId="7" xr:uid="{00000000-0005-0000-0000-000004000000}"/>
    <cellStyle name="Normalny 3 2" xfId="11" xr:uid="{00000000-0005-0000-0000-000005000000}"/>
    <cellStyle name="Normalny 4" xfId="8" xr:uid="{00000000-0005-0000-0000-000006000000}"/>
    <cellStyle name="Normalny 51" xfId="6" xr:uid="{00000000-0005-0000-0000-000007000000}"/>
    <cellStyle name="Normalny_Arkusz1" xfId="4" xr:uid="{00000000-0005-0000-0000-000008000000}"/>
    <cellStyle name="Standard_SPECYFIKACJA" xfId="2" xr:uid="{00000000-0005-0000-0000-000009000000}"/>
    <cellStyle name="Standard_SPECYFIKACJA 2" xfId="9" xr:uid="{00000000-0005-0000-0000-00000A000000}"/>
    <cellStyle name="Standard_SPECYFIKACJA_1" xfId="3" xr:uid="{00000000-0005-0000-0000-00000B000000}"/>
  </cellStyles>
  <dxfs count="43"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z val="18"/>
      </font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z val="10"/>
      </font>
    </dxf>
    <dxf>
      <fill>
        <patternFill patternType="solid">
          <bgColor rgb="FF00B0F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mankin/Desktop/test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tos Wojciech" refreshedDate="43006.338970254626" createdVersion="5" refreshedVersion="5" minRefreshableVersion="3" recordCount="71" xr:uid="{00000000-000A-0000-FFFF-FFFF00000000}">
  <cacheSource type="worksheet">
    <worksheetSource ref="A1:P73" sheet="PQ" r:id="rId2"/>
  </cacheSource>
  <cacheFields count="16">
    <cacheField name="STARY MSN" numFmtId="0">
      <sharedItems containsSemiMixedTypes="0" containsString="0" containsNumber="1" containsInteger="1" minValue="30018316" maxValue="30022160"/>
    </cacheField>
    <cacheField name="Model" numFmtId="0">
      <sharedItems containsSemiMixedTypes="0" containsString="0" containsNumber="1" containsInteger="1" minValue="60011" maxValue="99987" count="67">
        <n v="60011"/>
        <n v="99338"/>
        <n v="99098"/>
        <n v="99188"/>
        <n v="99197"/>
        <n v="99186"/>
        <n v="99097"/>
        <n v="99187"/>
        <n v="99096"/>
        <n v="99688"/>
        <n v="99091"/>
        <n v="99094"/>
        <n v="99193"/>
        <n v="99439"/>
        <n v="99194"/>
        <n v="99092"/>
        <n v="99342"/>
        <n v="99093"/>
        <n v="99191"/>
        <n v="99291"/>
        <n v="99298"/>
        <n v="99306"/>
        <n v="99307"/>
        <n v="99309"/>
        <n v="99336"/>
        <n v="99337"/>
        <n v="99339"/>
        <n v="99341"/>
        <n v="99343"/>
        <n v="99344"/>
        <n v="99442"/>
        <n v="99446"/>
        <n v="99447"/>
        <n v="99448"/>
        <n v="99464"/>
        <n v="99467"/>
        <n v="99468"/>
        <n v="99469"/>
        <n v="99523"/>
        <n v="99639"/>
        <n v="99671"/>
        <n v="99672"/>
        <n v="99673"/>
        <n v="99674"/>
        <n v="99684"/>
        <n v="99799"/>
        <n v="99198"/>
        <n v="60017"/>
        <n v="99818"/>
        <n v="99909"/>
        <n v="60021"/>
        <n v="60019"/>
        <n v="99809"/>
        <n v="99816"/>
        <n v="60152"/>
        <n v="60018"/>
        <n v="99441"/>
        <n v="60420"/>
        <n v="60154"/>
        <n v="99819"/>
        <n v="60149"/>
        <n v="99912"/>
        <n v="99808"/>
        <n v="99987"/>
        <n v="60223"/>
        <n v="60022"/>
        <n v="99911"/>
      </sharedItems>
    </cacheField>
    <cacheField name="STARY MSN2" numFmtId="0">
      <sharedItems containsSemiMixedTypes="0" containsString="0" containsNumber="1" containsInteger="1" minValue="30018316" maxValue="30022160"/>
    </cacheField>
    <cacheField name="NOWY MSN" numFmtId="0">
      <sharedItems containsSemiMixedTypes="0" containsString="0" containsNumber="1" containsInteger="1" minValue="30020994" maxValue="30023924"/>
    </cacheField>
    <cacheField name="Model3" numFmtId="0">
      <sharedItems/>
    </cacheField>
    <cacheField name="RODZAJ PANELA" numFmtId="0">
      <sharedItems/>
    </cacheField>
    <cacheField name="HDD " numFmtId="0">
      <sharedItems/>
    </cacheField>
    <cacheField name="RAM  " numFmtId="0">
      <sharedItems/>
    </cacheField>
    <cacheField name="CPU" numFmtId="0">
      <sharedItems/>
    </cacheField>
    <cacheField name="tak" numFmtId="0">
      <sharedItems/>
    </cacheField>
    <cacheField name="SYSTEM OPERACYJNY" numFmtId="0">
      <sharedItems/>
    </cacheField>
    <cacheField name="NR SWM" numFmtId="0">
      <sharedItems containsMixedTypes="1" containsNumber="1" containsInteger="1" minValue="20058938" maxValue="20063699"/>
    </cacheField>
    <cacheField name="info IMAGE" numFmtId="0">
      <sharedItems/>
    </cacheField>
    <cacheField name="Uwagi" numFmtId="0">
      <sharedItems containsBlank="1"/>
    </cacheField>
    <cacheField name="Shipping" numFmtId="0">
      <sharedItems containsBlank="1" count="2">
        <m/>
        <s v="Tak"/>
      </sharedItems>
    </cacheField>
    <cacheField name="BIOS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tos Wojciech" refreshedDate="43074.526821527776" createdVersion="5" refreshedVersion="5" minRefreshableVersion="3" recordCount="91" xr:uid="{00000000-000A-0000-FFFF-FFFF01000000}">
  <cacheSource type="worksheet">
    <worksheetSource name="Tabela2"/>
  </cacheSource>
  <cacheFields count="16">
    <cacheField name="STARY MSN" numFmtId="0">
      <sharedItems containsString="0" containsBlank="1" containsNumber="1" containsInteger="1" minValue="30018316" maxValue="30024309" count="83">
        <n v="30020624"/>
        <n v="30019134"/>
        <n v="30018321"/>
        <n v="30018690"/>
        <n v="30018694"/>
        <n v="30018668"/>
        <n v="30018319"/>
        <n v="30018669"/>
        <n v="30018316"/>
        <n v="30019938"/>
        <n v="30018317"/>
        <n v="30018322"/>
        <n v="30018692"/>
        <n v="30019276"/>
        <n v="30018693"/>
        <n v="30018318"/>
        <n v="30019151"/>
        <n v="30018320"/>
        <n v="30018691"/>
        <n v="30019033"/>
        <n v="30019032"/>
        <n v="30019034"/>
        <n v="30019035"/>
        <n v="30019036"/>
        <n v="30019136"/>
        <n v="30019135"/>
        <n v="30020223"/>
        <n v="30019139"/>
        <n v="30020147"/>
        <n v="30019150"/>
        <n v="30019138"/>
        <n v="30019137"/>
        <n v="30019300"/>
        <n v="30019279"/>
        <n v="30019278"/>
        <n v="30019301"/>
        <n v="30019324"/>
        <n v="30019323"/>
        <n v="30019317"/>
        <n v="30019316"/>
        <n v="30019463"/>
        <n v="30019851"/>
        <n v="30019882"/>
        <n v="30019848"/>
        <n v="30019849"/>
        <n v="30019900"/>
        <n v="30019959"/>
        <n v="30020216"/>
        <n v="30018695"/>
        <n v="30020222"/>
        <n v="30020559"/>
        <n v="30020249"/>
        <n v="30020459"/>
        <n v="30020662"/>
        <n v="30020661"/>
        <n v="30020246"/>
        <n v="30020247"/>
        <n v="30021144"/>
        <n v="30020660"/>
        <n v="30019277"/>
        <n v="30022160"/>
        <n v="30021111"/>
        <n v="30020270"/>
        <n v="30021129"/>
        <n v="30020471"/>
        <n v="30020244"/>
        <n v="30020458"/>
        <n v="30020622"/>
        <n v="30021325"/>
        <n v="30020663"/>
        <n v="30020470"/>
        <m/>
        <n v="30021152"/>
        <n v="30020621"/>
        <n v="30021116"/>
        <n v="30020248"/>
        <n v="30021119"/>
        <n v="30020665"/>
        <n v="30020220"/>
        <n v="30020226"/>
        <n v="30024309" u="1"/>
        <n v="30018572" u="1"/>
        <n v="30018982" u="1"/>
      </sharedItems>
    </cacheField>
    <cacheField name="Model" numFmtId="0">
      <sharedItems containsString="0" containsBlank="1" containsNumber="1" containsInteger="1" minValue="60011" maxValue="99989" count="81">
        <n v="60011"/>
        <n v="99338"/>
        <n v="99098"/>
        <n v="99188"/>
        <n v="99197"/>
        <n v="99186"/>
        <n v="99097"/>
        <n v="99187"/>
        <n v="99096"/>
        <n v="99688"/>
        <n v="99091"/>
        <n v="99094"/>
        <n v="99193"/>
        <n v="99439"/>
        <n v="99194"/>
        <n v="99092"/>
        <n v="99342"/>
        <n v="99093"/>
        <n v="99191"/>
        <n v="99291"/>
        <n v="99298"/>
        <n v="99306"/>
        <n v="99307"/>
        <n v="99309"/>
        <n v="99336"/>
        <n v="99337"/>
        <n v="99339"/>
        <n v="99341"/>
        <n v="99343"/>
        <n v="99344"/>
        <n v="99442"/>
        <n v="99446"/>
        <n v="99447"/>
        <n v="99448"/>
        <n v="99464"/>
        <n v="99467"/>
        <n v="99468"/>
        <n v="99469"/>
        <n v="99523"/>
        <n v="99639"/>
        <n v="99671"/>
        <n v="99672"/>
        <n v="99673"/>
        <n v="99674"/>
        <n v="99684"/>
        <n v="99799"/>
        <n v="99198"/>
        <n v="60017"/>
        <n v="99818"/>
        <n v="99909"/>
        <n v="60021"/>
        <n v="60019"/>
        <n v="99809"/>
        <n v="99816"/>
        <n v="60152"/>
        <n v="60018"/>
        <n v="99441"/>
        <n v="60420"/>
        <n v="60154"/>
        <n v="99819"/>
        <n v="60149"/>
        <n v="99912"/>
        <n v="99808"/>
        <n v="99908"/>
        <n v="99987"/>
        <n v="60223"/>
        <n v="60022"/>
        <n v="99911"/>
        <m/>
        <n v="60085"/>
        <n v="99989"/>
        <n v="60163"/>
        <n v="99817"/>
        <n v="60097"/>
        <n v="60023"/>
        <n v="99802"/>
        <n v="99801"/>
        <n v="99163" u="1"/>
        <n v="99279" u="1"/>
        <n v="60802" u="1"/>
        <n v="99152" u="1"/>
      </sharedItems>
    </cacheField>
    <cacheField name="STARY MSN2" numFmtId="0">
      <sharedItems containsString="0" containsBlank="1" containsNumber="1" containsInteger="1" minValue="30018316" maxValue="30022160"/>
    </cacheField>
    <cacheField name="NOWY MSN" numFmtId="0">
      <sharedItems containsString="0" containsBlank="1" containsNumber="1" containsInteger="1" minValue="30020994" maxValue="30024309"/>
    </cacheField>
    <cacheField name="Model3" numFmtId="0">
      <sharedItems containsBlank="1"/>
    </cacheField>
    <cacheField name="RODZAJ PANELA" numFmtId="0">
      <sharedItems containsBlank="1"/>
    </cacheField>
    <cacheField name="HDD " numFmtId="0">
      <sharedItems containsBlank="1"/>
    </cacheField>
    <cacheField name="RAM  " numFmtId="0">
      <sharedItems containsBlank="1"/>
    </cacheField>
    <cacheField name="CPU" numFmtId="0">
      <sharedItems containsBlank="1"/>
    </cacheField>
    <cacheField name="tak" numFmtId="0">
      <sharedItems containsBlank="1"/>
    </cacheField>
    <cacheField name="SYSTEM OPERACYJNY" numFmtId="0">
      <sharedItems containsBlank="1"/>
    </cacheField>
    <cacheField name="NR SWM" numFmtId="0">
      <sharedItems containsBlank="1" containsMixedTypes="1" containsNumber="1" containsInteger="1" minValue="20033388" maxValue="30021090" count="53">
        <n v="20061796"/>
        <n v="20060527"/>
        <n v="20059025"/>
        <s v="20059355/ 20059356"/>
        <n v="20059359"/>
        <n v="20059372"/>
        <s v="20058983 / 20058984"/>
        <n v="20058982"/>
        <n v="20061408"/>
        <n v="20058938"/>
        <n v="20059000"/>
        <n v="20059327"/>
        <n v="20062778"/>
        <n v="20059328"/>
        <n v="20059371"/>
        <n v="20060470"/>
        <n v="20058996"/>
        <n v="20059869"/>
        <n v="20059872"/>
        <n v="20060121"/>
        <n v="20059873"/>
        <n v="20060526"/>
        <n v="20061144"/>
        <n v="20060170"/>
        <n v="20060826"/>
        <n v="20060255"/>
        <n v="20060473"/>
        <n v="20060855"/>
        <n v="20061256"/>
        <n v="20061252"/>
        <n v="20061773"/>
        <n v="20063699"/>
        <n v="20062248"/>
        <n v="20063388"/>
        <n v="20061924"/>
        <n v="20062666"/>
        <n v="20062282"/>
        <n v="20061707"/>
        <n v="20062323"/>
        <n v="20062664"/>
        <n v="20062093"/>
        <m/>
        <n v="20062527"/>
        <n v="20061798"/>
        <n v="20062400"/>
        <n v="20062529"/>
        <s v="20061739/1740"/>
        <n v="30021090" u="1"/>
        <n v="20059223" u="1"/>
        <n v="20061717" u="1"/>
        <n v="20060051" u="1"/>
        <n v="20033388" u="1"/>
        <n v="20061236" u="1"/>
      </sharedItems>
    </cacheField>
    <cacheField name="info IMAGE" numFmtId="0">
      <sharedItems containsBlank="1"/>
    </cacheField>
    <cacheField name="Uwagi" numFmtId="0">
      <sharedItems containsBlank="1"/>
    </cacheField>
    <cacheField name="Shipping" numFmtId="0">
      <sharedItems containsBlank="1"/>
    </cacheField>
    <cacheField name="BIO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tos Wojciech" refreshedDate="43305.535975231483" createdVersion="5" refreshedVersion="5" minRefreshableVersion="3" recordCount="609" xr:uid="{00000000-000A-0000-FFFF-FFFF02000000}">
  <cacheSource type="worksheet">
    <worksheetSource name="Tabela1"/>
  </cacheSource>
  <cacheFields count="21">
    <cacheField name="MODEL" numFmtId="0">
      <sharedItems containsBlank="1" containsMixedTypes="1" containsNumber="1" containsInteger="1" minValue="60000" maxValue="99998" count="594">
        <n v="60000"/>
        <n v="60007"/>
        <n v="60011"/>
        <n v="60014"/>
        <n v="60017"/>
        <n v="60018"/>
        <n v="60019"/>
        <n v="60021"/>
        <n v="60022"/>
        <n v="60023"/>
        <n v="60025"/>
        <n v="60027"/>
        <n v="60028"/>
        <n v="60075"/>
        <n v="60077"/>
        <n v="60078"/>
        <n v="60085"/>
        <n v="60091"/>
        <n v="60092"/>
        <n v="60093"/>
        <n v="60094"/>
        <n v="60095"/>
        <n v="60097"/>
        <n v="60100"/>
        <n v="60101"/>
        <n v="60103"/>
        <n v="60106"/>
        <n v="60107"/>
        <n v="60108"/>
        <n v="60109"/>
        <n v="60111"/>
        <n v="60112"/>
        <n v="60117"/>
        <n v="60120"/>
        <n v="60126"/>
        <n v="60128"/>
        <n v="60138"/>
        <n v="60142"/>
        <n v="60149"/>
        <n v="60150"/>
        <n v="60152"/>
        <n v="60154"/>
        <n v="60163"/>
        <n v="60167"/>
        <n v="60172"/>
        <n v="60178"/>
        <n v="60179"/>
        <n v="60186"/>
        <n v="60187"/>
        <n v="60193"/>
        <n v="60194"/>
        <n v="60195"/>
        <n v="60196"/>
        <n v="60198"/>
        <n v="60200"/>
        <n v="60213"/>
        <n v="60214"/>
        <n v="60218"/>
        <n v="60219"/>
        <n v="60223"/>
        <n v="60224"/>
        <n v="60226"/>
        <n v="60229"/>
        <n v="60230"/>
        <n v="60233"/>
        <n v="60234"/>
        <n v="60244"/>
        <n v="60249"/>
        <n v="60250"/>
        <n v="60251"/>
        <n v="60252"/>
        <n v="60253"/>
        <n v="60254"/>
        <n v="60256"/>
        <n v="60257"/>
        <n v="60258"/>
        <n v="60259"/>
        <n v="60260"/>
        <n v="60261"/>
        <n v="60262"/>
        <n v="60274"/>
        <n v="60281"/>
        <n v="60283"/>
        <n v="60285"/>
        <n v="60289"/>
        <n v="60294"/>
        <n v="60300"/>
        <n v="60301"/>
        <n v="60318"/>
        <n v="60320"/>
        <n v="60321"/>
        <n v="60324"/>
        <n v="60325"/>
        <n v="60326"/>
        <n v="60328"/>
        <n v="60329"/>
        <n v="60330"/>
        <n v="60337"/>
        <n v="60350"/>
        <n v="60359"/>
        <n v="60369"/>
        <n v="60383"/>
        <n v="60395"/>
        <n v="60397"/>
        <n v="60400"/>
        <n v="60406"/>
        <n v="60407"/>
        <n v="60411"/>
        <n v="60420"/>
        <n v="60423"/>
        <n v="60424"/>
        <n v="60428"/>
        <n v="60429"/>
        <n v="60434"/>
        <n v="60435"/>
        <n v="60436"/>
        <n v="60437"/>
        <n v="60438"/>
        <n v="60439"/>
        <n v="60440"/>
        <n v="60442"/>
        <n v="60443"/>
        <n v="60444"/>
        <n v="60450"/>
        <n v="60483"/>
        <n v="60487"/>
        <n v="60490"/>
        <n v="60491"/>
        <n v="60496"/>
        <n v="60498"/>
        <n v="60499"/>
        <n v="60550"/>
        <n v="60555"/>
        <n v="60562"/>
        <n v="60595"/>
        <n v="60600"/>
        <n v="60620"/>
        <n v="60622"/>
        <n v="60624"/>
        <n v="60626"/>
        <n v="60627"/>
        <n v="60628"/>
        <n v="60629"/>
        <n v="60630"/>
        <n v="60631"/>
        <n v="60635"/>
        <n v="60636"/>
        <n v="60650"/>
        <n v="60665"/>
        <n v="60712"/>
        <n v="60713"/>
        <n v="60723"/>
        <n v="60724"/>
        <n v="60739"/>
        <n v="60750"/>
        <n v="60793"/>
        <n v="60794"/>
        <n v="60800"/>
        <n v="60808"/>
        <n v="60812"/>
        <n v="60818"/>
        <n v="60827"/>
        <n v="60848"/>
        <n v="60850"/>
        <n v="60900"/>
        <n v="60950"/>
        <n v="61000"/>
        <n v="61100"/>
        <n v="61250"/>
        <n v="61400"/>
        <n v="61450"/>
        <n v="61500"/>
        <n v="61700"/>
        <n v="98449"/>
        <n v="98537"/>
        <n v="98602"/>
        <n v="98603"/>
        <n v="98604"/>
        <n v="98647"/>
        <n v="98674"/>
        <n v="98689"/>
        <n v="98705"/>
        <n v="98706"/>
        <n v="98707"/>
        <n v="98714"/>
        <n v="98716"/>
        <n v="98806"/>
        <n v="98832"/>
        <n v="98842"/>
        <n v="98844"/>
        <n v="98874"/>
        <n v="98875"/>
        <n v="98876"/>
        <n v="98878"/>
        <n v="98882"/>
        <n v="98887"/>
        <n v="98889"/>
        <n v="98908"/>
        <n v="98924"/>
        <n v="98925"/>
        <n v="98926"/>
        <n v="98927"/>
        <n v="98954"/>
        <n v="99019"/>
        <n v="99056"/>
        <n v="99070"/>
        <n v="99075"/>
        <n v="99080"/>
        <n v="99085"/>
        <n v="99087"/>
        <n v="99089"/>
        <n v="99090"/>
        <n v="99091"/>
        <n v="99092"/>
        <n v="99093"/>
        <n v="99094"/>
        <n v="99095"/>
        <n v="99096"/>
        <n v="99097"/>
        <n v="99098"/>
        <n v="99149"/>
        <n v="99160"/>
        <n v="99165"/>
        <n v="99170"/>
        <n v="99171"/>
        <n v="99186"/>
        <n v="99187"/>
        <n v="99188"/>
        <n v="99191"/>
        <n v="99193"/>
        <n v="99194"/>
        <n v="99197"/>
        <n v="99198"/>
        <n v="99220"/>
        <n v="99222"/>
        <n v="99230"/>
        <n v="99235"/>
        <n v="99236"/>
        <n v="99240"/>
        <n v="99260"/>
        <n v="99270"/>
        <n v="99280"/>
        <n v="99283"/>
        <n v="99288"/>
        <n v="99290"/>
        <n v="99291"/>
        <n v="99292"/>
        <n v="99298"/>
        <n v="99299"/>
        <n v="99306"/>
        <n v="99307"/>
        <n v="99309"/>
        <n v="99310"/>
        <n v="99311"/>
        <n v="99313"/>
        <n v="99316"/>
        <n v="99317"/>
        <n v="99318"/>
        <n v="99329"/>
        <n v="99330"/>
        <n v="99333"/>
        <n v="99336"/>
        <n v="99337"/>
        <n v="99338"/>
        <n v="99339"/>
        <n v="99341"/>
        <n v="99342"/>
        <n v="99343"/>
        <n v="99344"/>
        <n v="99348"/>
        <n v="99349"/>
        <n v="99350"/>
        <n v="99360"/>
        <n v="99371"/>
        <n v="99372"/>
        <n v="99373"/>
        <n v="99374"/>
        <n v="99377"/>
        <n v="99380"/>
        <n v="99381"/>
        <n v="99390"/>
        <n v="99391"/>
        <n v="99400"/>
        <n v="99410"/>
        <n v="99411"/>
        <n v="99420"/>
        <n v="99421"/>
        <n v="99422"/>
        <n v="99430"/>
        <n v="99438"/>
        <n v="99439"/>
        <n v="99440"/>
        <n v="99441"/>
        <n v="99442"/>
        <n v="99444"/>
        <n v="99446"/>
        <n v="99447"/>
        <n v="99448"/>
        <n v="99450"/>
        <n v="99451"/>
        <n v="99452"/>
        <n v="99454"/>
        <n v="99460"/>
        <n v="99464"/>
        <n v="99466"/>
        <n v="99467"/>
        <n v="99468"/>
        <n v="99469"/>
        <n v="99471"/>
        <n v="99479"/>
        <n v="99480"/>
        <n v="99490"/>
        <n v="99495"/>
        <n v="99499"/>
        <n v="99523"/>
        <n v="99525"/>
        <n v="99526"/>
        <n v="99530"/>
        <n v="99540"/>
        <n v="99543"/>
        <n v="99544"/>
        <n v="99554"/>
        <n v="99556"/>
        <n v="99560"/>
        <n v="99566"/>
        <n v="99570"/>
        <n v="99574"/>
        <n v="99576"/>
        <n v="99580"/>
        <n v="99585"/>
        <n v="99590"/>
        <n v="99595"/>
        <n v="99597"/>
        <n v="99599"/>
        <n v="99602"/>
        <n v="99610"/>
        <n v="99613"/>
        <n v="99615"/>
        <n v="99620"/>
        <n v="99630"/>
        <n v="99639"/>
        <n v="99640"/>
        <n v="99650"/>
        <n v="99660"/>
        <n v="99667"/>
        <n v="99670"/>
        <n v="99671"/>
        <n v="99672"/>
        <n v="99673"/>
        <n v="99674"/>
        <n v="99680"/>
        <n v="99684"/>
        <n v="99688"/>
        <n v="99689"/>
        <n v="99690"/>
        <n v="99700"/>
        <n v="99702"/>
        <n v="99710"/>
        <n v="99713"/>
        <n v="99720"/>
        <n v="99724"/>
        <n v="99745"/>
        <n v="99746"/>
        <n v="99751"/>
        <n v="99771"/>
        <n v="99779"/>
        <n v="99782"/>
        <n v="99783"/>
        <n v="99790"/>
        <n v="99799"/>
        <n v="99801"/>
        <n v="99802"/>
        <n v="99808"/>
        <n v="99809"/>
        <n v="99810"/>
        <n v="99816"/>
        <n v="99817"/>
        <n v="99818"/>
        <n v="99819"/>
        <n v="99820"/>
        <n v="99830"/>
        <n v="99831"/>
        <n v="99832"/>
        <n v="99841"/>
        <n v="99850"/>
        <n v="99854"/>
        <n v="99855"/>
        <n v="99856"/>
        <n v="99857"/>
        <n v="99859"/>
        <n v="99860"/>
        <n v="99861"/>
        <n v="99862"/>
        <n v="99863"/>
        <n v="99867"/>
        <n v="99868"/>
        <n v="99869"/>
        <n v="99870"/>
        <n v="99871"/>
        <n v="99874"/>
        <n v="99876"/>
        <n v="99880"/>
        <s v="99880m"/>
        <n v="99885"/>
        <n v="99890"/>
        <n v="99894"/>
        <n v="99898"/>
        <n v="99901"/>
        <n v="99903"/>
        <n v="99908"/>
        <n v="99909"/>
        <n v="99910"/>
        <n v="99911"/>
        <n v="99912"/>
        <n v="99920"/>
        <n v="99930"/>
        <n v="99934"/>
        <n v="99940"/>
        <n v="99949"/>
        <s v="99949m"/>
        <n v="99950"/>
        <n v="99951"/>
        <n v="99952"/>
        <n v="99955"/>
        <n v="99956"/>
        <n v="99957"/>
        <n v="99960"/>
        <n v="99961"/>
        <n v="99962"/>
        <n v="99970"/>
        <n v="99972"/>
        <n v="99973"/>
        <n v="99980"/>
        <n v="99987"/>
        <n v="99989"/>
        <s v="99850M"/>
        <n v="60110"/>
        <n v="60546"/>
        <n v="98964"/>
        <n v="60849"/>
        <n v="60488"/>
        <n v="60809"/>
        <n v="61150"/>
        <n v="61550"/>
        <n v="61200"/>
        <n v="60816"/>
        <n v="60148"/>
        <n v="60398"/>
        <n v="60497"/>
        <n v="60594"/>
        <n v="60634"/>
        <n v="60791"/>
        <n v="60792"/>
        <n v="60817"/>
        <n v="99686"/>
        <n v="60796"/>
        <n v="60798"/>
        <n v="60711"/>
        <n v="60425"/>
        <n v="99971"/>
        <n v="60059"/>
        <n v="60775"/>
        <n v="99714"/>
        <n v="99564"/>
        <n v="60385"/>
        <n v="60560"/>
        <n v="99247"/>
        <n v="60554"/>
        <n v="60558"/>
        <n v="60419"/>
        <n v="99249"/>
        <n v="60559"/>
        <n v="99743"/>
        <n v="61650"/>
        <n v="99821"/>
        <n v="99823"/>
        <n v="60617"/>
        <n v="60105"/>
        <n v="61300"/>
        <n v="99875"/>
        <n v="60405"/>
        <n v="60813"/>
        <n v="60948"/>
        <n v="60597"/>
        <n v="60632"/>
        <n v="60116"/>
        <n v="60083"/>
        <n v="61750"/>
        <n v="60146"/>
        <n v="60608"/>
        <n v="60735"/>
        <n v="99946"/>
        <n v="99904"/>
        <n v="60415"/>
        <n v="99998"/>
        <n v="99982"/>
        <n v="60763"/>
        <n v="99651"/>
        <n v="99696"/>
        <n v="99954"/>
        <n v="99958"/>
        <n v="99964"/>
        <n v="60732"/>
        <n v="60728"/>
        <n v="60738"/>
        <n v="60470"/>
        <n v="60373"/>
        <n v="60311"/>
        <n v="60080"/>
        <n v="60422"/>
        <n v="60314"/>
        <n v="60237"/>
        <n v="60247"/>
        <n v="61050"/>
        <n v="61800"/>
        <n v="61350"/>
        <n v="60633"/>
        <n v="60984"/>
        <n v="99963"/>
        <n v="60451"/>
        <n v="60985"/>
        <n v="60170"/>
        <n v="60825"/>
        <n v="60826"/>
        <n v="60104"/>
        <n v="61600"/>
        <n v="60433"/>
        <n v="60547"/>
        <n v="60238"/>
        <n v="60460"/>
        <n v="60413"/>
        <n v="60469"/>
        <n v="60577"/>
        <n v="60501"/>
        <n v="61850"/>
        <n v="60573"/>
        <n v="99995"/>
        <n v="60619"/>
        <n v="60691"/>
        <n v="60618"/>
        <n v="60322"/>
        <n v="60452"/>
        <n v="60611"/>
        <n v="60323"/>
        <n v="60461"/>
        <n v="60564"/>
        <n v="60427"/>
        <n v="60571"/>
        <n v="60811"/>
        <n v="60684"/>
        <n v="60685"/>
        <n v="60686"/>
        <n v="60687"/>
        <n v="60688"/>
        <n v="60689"/>
        <n v="60690"/>
        <n v="60692"/>
        <n v="60603"/>
        <n v="60602"/>
        <n v="60751"/>
        <n v="60601"/>
        <n v="99994"/>
        <n v="60934"/>
        <n v="60568"/>
        <n v="60615"/>
        <n v="60933"/>
        <n v="61950"/>
        <n v="60740"/>
        <n v="60939"/>
        <n v="60797"/>
        <n v="60243"/>
        <n v="61900"/>
        <n v="60754"/>
        <n v="60122"/>
        <n v="60058"/>
        <n v="60417"/>
        <n v="99352"/>
        <n v="60790"/>
        <n v="60730"/>
        <n v="99528"/>
        <n v="60815"/>
        <n v="60810"/>
        <n v="60607"/>
        <n v="99223"/>
        <n v="99558"/>
        <n v="99587"/>
        <n v="60997"/>
        <n v="99878"/>
        <n v="60736"/>
        <n v="60507"/>
        <n v="99512"/>
        <m/>
        <n v="60377" u="1"/>
        <n v="60574" u="1"/>
      </sharedItems>
    </cacheField>
    <cacheField name="PEAQ MODEL" numFmtId="0">
      <sharedItems containsBlank="1"/>
    </cacheField>
    <cacheField name="MSN" numFmtId="0">
      <sharedItems containsBlank="1" containsMixedTypes="1" containsNumber="1" containsInteger="1" minValue="3002863" maxValue="30025249"/>
    </cacheField>
    <cacheField name="STARY MSN" numFmtId="0">
      <sharedItems containsBlank="1" containsMixedTypes="1" containsNumber="1" containsInteger="1" minValue="30018316" maxValue="30023285"/>
    </cacheField>
    <cacheField name="KOLOR" numFmtId="0">
      <sharedItems containsBlank="1"/>
    </cacheField>
    <cacheField name="RODZAJ PANELA" numFmtId="0">
      <sharedItems containsBlank="1"/>
    </cacheField>
    <cacheField name="HDD " numFmtId="0">
      <sharedItems containsBlank="1"/>
    </cacheField>
    <cacheField name="RAM  " numFmtId="0">
      <sharedItems containsBlank="1"/>
    </cacheField>
    <cacheField name="CPU" numFmtId="0">
      <sharedItems containsBlank="1"/>
    </cacheField>
    <cacheField name="TAKTOWANIE" numFmtId="0">
      <sharedItems containsBlank="1"/>
    </cacheField>
    <cacheField name="OS" numFmtId="0">
      <sharedItems containsBlank="1"/>
    </cacheField>
    <cacheField name="NR SWM" numFmtId="0">
      <sharedItems containsBlank="1" containsMixedTypes="1" containsNumber="1" containsInteger="1" minValue="20033957" maxValue="40051058" count="271">
        <s v="Przywracamy oryginalny"/>
        <s v="20062823/20062416"/>
        <n v="20061796"/>
        <n v="20061818"/>
        <n v="20063699"/>
        <n v="20062282"/>
        <n v="20063388"/>
        <n v="20062248"/>
        <n v="20062458"/>
        <n v="20063219"/>
        <n v="20062207"/>
        <n v="20062524"/>
        <n v="20062411"/>
        <n v="20062527"/>
        <n v="20062441"/>
        <n v="20060376"/>
        <n v="20062529"/>
        <n v="20063544"/>
        <n v="20062447"/>
        <s v="20062493/2446"/>
        <n v="20063241"/>
        <n v="20062665"/>
        <s v="-"/>
        <n v="20062393"/>
        <n v="20062778"/>
        <n v="20063525"/>
        <n v="20062666"/>
        <n v="20062400"/>
        <n v="20062189"/>
        <n v="20060809"/>
        <n v="20063432"/>
        <n v="20062398"/>
        <n v="20062667"/>
        <n v="20062490"/>
        <n v="20065318"/>
        <n v="20063442"/>
        <n v="20062664"/>
        <n v="20062822"/>
        <n v="20062423"/>
        <n v="20064511"/>
        <n v="20062955"/>
        <n v="20062949"/>
        <n v="20062971"/>
        <n v="20063399"/>
        <n v="20063364"/>
        <s v="20063169/2822"/>
        <n v="20063299"/>
        <n v="20062970"/>
        <n v="20063663"/>
        <n v="20063526"/>
        <n v="20062972"/>
        <n v="20064574"/>
        <n v="20063379"/>
        <n v="20063521"/>
        <n v="20062414"/>
        <n v="20063449"/>
        <n v="20063913"/>
        <n v="20063618"/>
        <n v="20063641"/>
        <n v="20064353"/>
        <n v="20063626"/>
        <n v="20061915"/>
        <n v="20064177"/>
        <n v="20065185"/>
        <n v="20063469"/>
        <n v="20063532"/>
        <n v="20063875"/>
        <n v="20063876"/>
        <n v="20064220"/>
        <n v="20063625"/>
        <n v="20064803"/>
        <n v="20063861"/>
        <n v="20064549"/>
        <n v="20064573"/>
        <n v="20064475"/>
        <n v="20064114"/>
        <n v="20064185"/>
        <n v="20064036"/>
        <n v="20064577"/>
        <n v="20065186"/>
        <n v="20064695"/>
        <n v="20058873"/>
        <s v="20059775 / 20059776"/>
        <n v="20056439"/>
        <s v="20058321 / 20058322"/>
        <s v="20058875 / 20058876"/>
        <s v="20060089 / 20060090"/>
        <n v="20058998"/>
        <s v="20057923 / 20057801"/>
        <n v="20057819"/>
        <s v="20057830 lub 20057819"/>
        <n v="20057646"/>
        <s v="20059560 / 20058874"/>
        <n v="20058695"/>
        <n v="20058580"/>
        <s v="20058127 / 20058128"/>
        <s v="20059074 / 20058696"/>
        <s v="20058102/20058103"/>
        <n v="20060730"/>
        <n v="20055980"/>
        <n v="20054293"/>
        <n v="20054586"/>
        <n v="20054294"/>
        <n v="20054774"/>
        <n v="20055163"/>
        <n v="20054376"/>
        <n v="20058938"/>
        <n v="20059371"/>
        <n v="20058996"/>
        <n v="20059000"/>
        <n v="40045358"/>
        <n v="20058982"/>
        <s v="20058983 / 20058984"/>
        <n v="20059025"/>
        <n v="20061132"/>
        <n v="20054773"/>
        <n v="20054997"/>
        <n v="20054843"/>
        <n v="20055942"/>
        <n v="20059372"/>
        <s v="20059355/ 20059356"/>
        <n v="20059327"/>
        <n v="20059328"/>
        <n v="20059359"/>
        <n v="20060255"/>
        <n v="20054462"/>
        <n v="20056997"/>
        <n v="20056135"/>
        <n v="20056136"/>
        <n v="20056278"/>
        <n v="20056290"/>
        <n v="20056490"/>
        <n v="20057390"/>
        <n v="40049154"/>
        <s v="40050123 / 40050124"/>
        <n v="20056952"/>
        <n v="20059869"/>
        <n v="40050125"/>
        <n v="20059872"/>
        <s v="20057492 / 20057493"/>
        <n v="20060121"/>
        <n v="20059873"/>
        <n v="20057494"/>
        <n v="40051058"/>
        <n v="20059860"/>
        <s v="20060080 / 20060082"/>
        <n v="20059110"/>
        <n v="20060120"/>
        <n v="40050126"/>
        <s v="40051056 / 40051057"/>
        <n v="20060526"/>
        <n v="20060527"/>
        <n v="20061144"/>
        <n v="20060170"/>
        <n v="20060470"/>
        <n v="20060826"/>
        <n v="20062304"/>
        <n v="40047039"/>
        <n v="20061106"/>
        <n v="20060245"/>
        <s v="20060249 / 20060250"/>
        <s v="20060251 / 20060252"/>
        <n v="20060908"/>
        <s v="40051741 / 40051742"/>
        <n v="20059570"/>
        <n v="20058877"/>
        <n v="20058697"/>
        <n v="20060561"/>
        <n v="20059441"/>
        <n v="20059759"/>
        <s v="20058565/20058564"/>
        <n v="20060246"/>
        <n v="20060473"/>
        <n v="20061820"/>
        <n v="20061387"/>
        <n v="20060947"/>
        <n v="20060855"/>
        <n v="20060248"/>
        <n v="20059189"/>
        <s v="20061354/1355"/>
        <n v="20061170"/>
        <n v="20061630"/>
        <n v="20062264"/>
        <n v="20061369"/>
        <n v="20061113"/>
        <n v="20061245"/>
        <n v="20061408"/>
        <n v="20061256"/>
        <n v="20061252"/>
        <n v="20061773"/>
        <n v="20061355"/>
        <n v="20062542"/>
        <n v="20061374"/>
        <n v="20060556"/>
        <n v="20061609"/>
        <s v="20061739/1740"/>
        <n v="20061707"/>
        <n v="20061924"/>
        <n v="20062093"/>
        <n v="20062180"/>
        <n v="20062205"/>
        <n v="20062323"/>
        <n v="20061798"/>
        <n v="20061327"/>
        <n v="20064575"/>
        <n v="20064717"/>
        <n v="20064579"/>
        <n v="20064570"/>
        <n v="20063926"/>
        <s v="20063618/3524"/>
        <n v="20064648"/>
        <n v="20064642"/>
        <n v="20063957"/>
        <n v="20063523"/>
        <n v="20062401"/>
        <n v="20064373"/>
        <n v="20063811"/>
        <n v="20063749"/>
        <n v="20063374"/>
        <n v="20061726"/>
        <n v="20064934"/>
        <n v="20062096"/>
        <n v="20061744"/>
        <n v="20064682"/>
        <n v="20061967"/>
        <n v="20064414"/>
        <n v="20064834"/>
        <n v="20063938"/>
        <n v="20062204"/>
        <n v="20062819"/>
        <n v="20064942"/>
        <n v="20064223"/>
        <n v="20064178"/>
        <n v="20062416"/>
        <n v="20065001"/>
        <n v="20064777"/>
        <n v="20063244"/>
        <n v="20065033"/>
        <s v="20064732/4564"/>
        <s v="20061178/1355"/>
        <n v="20065179"/>
        <n v="20063860"/>
        <n v="20064417"/>
        <n v="20063593"/>
        <n v="20064226"/>
        <n v="20063877"/>
        <n v="20064840"/>
        <n v="20065131"/>
        <n v="20065640"/>
        <n v="20064497"/>
        <n v="20065354"/>
        <n v="20064719"/>
        <n v="20061131"/>
        <s v="20061178/1354"/>
        <n v="20065641"/>
        <n v="20065030"/>
        <n v="20061618"/>
        <m/>
        <n v="20062493" u="1"/>
        <n v="20033957" u="1"/>
        <n v="20061178" u="1"/>
        <n v="20061354" u="1"/>
        <n v="20063431" u="1"/>
        <n v="30023688" u="1"/>
        <n v="20063240" u="1"/>
        <n v="20064732" u="1"/>
        <n v="20063169" u="1"/>
        <n v="20062882" u="1"/>
        <n v="20064186" u="1"/>
        <n v="20058545" u="1"/>
        <n v="20063524" u="1"/>
      </sharedItems>
    </cacheField>
    <cacheField name="INFORMACJE O OBRAZIE" numFmtId="0">
      <sharedItems containsBlank="1"/>
    </cacheField>
    <cacheField name="WSKAZOWKI" numFmtId="0">
      <sharedItems containsBlank="1"/>
    </cacheField>
    <cacheField name="MODEL OBUDOWY" numFmtId="0">
      <sharedItems containsBlank="1"/>
    </cacheField>
    <cacheField name="MODEL PLYTY" numFmtId="0">
      <sharedItems containsBlank="1"/>
    </cacheField>
    <cacheField name="PRODUCENT PLYTY" numFmtId="0">
      <sharedItems containsBlank="1"/>
    </cacheField>
    <cacheField name="SHIPPING" numFmtId="0">
      <sharedItems containsBlank="1" count="5">
        <s v="Nie"/>
        <s v="Tak"/>
        <m/>
        <s v="-" u="1"/>
        <s v="?" u="1"/>
      </sharedItems>
    </cacheField>
    <cacheField name="Zasilacz" numFmtId="0">
      <sharedItems containsBlank="1" containsMixedTypes="1" containsNumber="1" containsInteger="1" minValue="40050731" maxValue="40063271"/>
    </cacheField>
    <cacheField name="Linia" numFmtId="0">
      <sharedItems containsBlank="1" containsMixedTypes="1" containsNumber="1" containsInteger="1" minValue="1" maxValue="4"/>
    </cacheField>
    <cacheField name="Grafik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itos Wojciech" refreshedDate="43311.509936574075" createdVersion="5" refreshedVersion="5" minRefreshableVersion="3" recordCount="609" xr:uid="{00000000-000A-0000-FFFF-FFFF0B000000}">
  <cacheSource type="worksheet">
    <worksheetSource name="Tabela1"/>
  </cacheSource>
  <cacheFields count="21">
    <cacheField name="MODEL" numFmtId="0">
      <sharedItems containsBlank="1" containsMixedTypes="1" containsNumber="1" containsInteger="1" minValue="60000" maxValue="99998" count="592">
        <n v="60000"/>
        <n v="60007"/>
        <n v="60011"/>
        <n v="60014"/>
        <n v="60017"/>
        <n v="60018"/>
        <n v="60019"/>
        <n v="60021"/>
        <n v="60022"/>
        <n v="60023"/>
        <n v="60025"/>
        <n v="60027"/>
        <n v="60028"/>
        <n v="60075"/>
        <n v="60077"/>
        <n v="60078"/>
        <n v="60085"/>
        <n v="60091"/>
        <n v="60092"/>
        <n v="60093"/>
        <n v="60094"/>
        <n v="60095"/>
        <n v="60097"/>
        <n v="60100"/>
        <n v="60101"/>
        <n v="60103"/>
        <n v="60106"/>
        <n v="60107"/>
        <n v="60108"/>
        <n v="60109"/>
        <n v="60111"/>
        <n v="60112"/>
        <n v="60117"/>
        <n v="60120"/>
        <n v="60126"/>
        <n v="60128"/>
        <n v="60138"/>
        <n v="60142"/>
        <n v="60149"/>
        <n v="60150"/>
        <n v="60152"/>
        <n v="60154"/>
        <n v="60163"/>
        <n v="60167"/>
        <n v="60172"/>
        <n v="60178"/>
        <n v="60179"/>
        <n v="60186"/>
        <n v="60187"/>
        <n v="60193"/>
        <n v="60194"/>
        <n v="60195"/>
        <n v="60196"/>
        <n v="60198"/>
        <n v="60200"/>
        <n v="60213"/>
        <n v="60214"/>
        <n v="60218"/>
        <n v="60219"/>
        <n v="60223"/>
        <n v="60224"/>
        <n v="60226"/>
        <n v="60229"/>
        <n v="60230"/>
        <n v="60233"/>
        <n v="60234"/>
        <n v="60244"/>
        <n v="60249"/>
        <n v="60250"/>
        <n v="60251"/>
        <n v="60252"/>
        <n v="60253"/>
        <n v="60254"/>
        <n v="60256"/>
        <n v="60257"/>
        <n v="60258"/>
        <n v="60259"/>
        <n v="60260"/>
        <n v="60261"/>
        <n v="60262"/>
        <n v="60274"/>
        <n v="60281"/>
        <n v="60283"/>
        <n v="60285"/>
        <n v="60289"/>
        <n v="60294"/>
        <n v="60300"/>
        <n v="60301"/>
        <n v="60318"/>
        <n v="60320"/>
        <n v="60321"/>
        <n v="60324"/>
        <n v="60325"/>
        <n v="60326"/>
        <n v="60328"/>
        <n v="60329"/>
        <n v="60330"/>
        <n v="60337"/>
        <n v="60350"/>
        <n v="60359"/>
        <n v="60369"/>
        <n v="60383"/>
        <n v="60395"/>
        <n v="60397"/>
        <n v="60400"/>
        <n v="60406"/>
        <n v="60407"/>
        <n v="60411"/>
        <n v="60420"/>
        <n v="60423"/>
        <n v="60424"/>
        <n v="60428"/>
        <n v="60429"/>
        <n v="60434"/>
        <n v="60435"/>
        <n v="60436"/>
        <n v="60437"/>
        <n v="60438"/>
        <n v="60439"/>
        <n v="60440"/>
        <n v="60442"/>
        <n v="60443"/>
        <n v="60444"/>
        <n v="60450"/>
        <n v="60483"/>
        <n v="60487"/>
        <n v="60490"/>
        <n v="60491"/>
        <n v="60496"/>
        <n v="60498"/>
        <n v="60499"/>
        <n v="60550"/>
        <n v="60555"/>
        <n v="60562"/>
        <n v="60595"/>
        <n v="60600"/>
        <n v="60620"/>
        <n v="60622"/>
        <n v="60624"/>
        <n v="60626"/>
        <n v="60627"/>
        <n v="60628"/>
        <n v="60629"/>
        <n v="60630"/>
        <n v="60631"/>
        <n v="60635"/>
        <n v="60636"/>
        <n v="60650"/>
        <n v="60665"/>
        <n v="60712"/>
        <n v="60713"/>
        <n v="60723"/>
        <n v="60724"/>
        <n v="60739"/>
        <n v="60750"/>
        <n v="60793"/>
        <n v="60794"/>
        <n v="60800"/>
        <n v="60808"/>
        <n v="60812"/>
        <n v="60818"/>
        <n v="60827"/>
        <n v="60848"/>
        <n v="60850"/>
        <n v="60900"/>
        <n v="60950"/>
        <n v="61000"/>
        <n v="61100"/>
        <n v="61250"/>
        <n v="61400"/>
        <n v="61450"/>
        <n v="61500"/>
        <n v="61700"/>
        <n v="98449"/>
        <n v="98537"/>
        <n v="98602"/>
        <n v="98603"/>
        <n v="98604"/>
        <n v="98647"/>
        <n v="98674"/>
        <n v="98689"/>
        <n v="98705"/>
        <n v="98706"/>
        <n v="98707"/>
        <n v="98714"/>
        <n v="98716"/>
        <n v="98806"/>
        <n v="98832"/>
        <n v="98842"/>
        <n v="98844"/>
        <n v="98874"/>
        <n v="98875"/>
        <n v="98876"/>
        <n v="98878"/>
        <n v="98882"/>
        <n v="98887"/>
        <n v="98889"/>
        <n v="98908"/>
        <n v="98924"/>
        <n v="98925"/>
        <n v="98926"/>
        <n v="98927"/>
        <n v="98954"/>
        <n v="99019"/>
        <n v="99056"/>
        <n v="99070"/>
        <n v="99075"/>
        <n v="99080"/>
        <n v="99085"/>
        <n v="99087"/>
        <n v="99089"/>
        <n v="99090"/>
        <n v="99091"/>
        <n v="99092"/>
        <n v="99093"/>
        <n v="99094"/>
        <n v="99095"/>
        <n v="99096"/>
        <n v="99097"/>
        <n v="99098"/>
        <n v="99149"/>
        <n v="99160"/>
        <n v="99165"/>
        <n v="99170"/>
        <n v="99171"/>
        <n v="99186"/>
        <n v="99187"/>
        <n v="99188"/>
        <n v="99191"/>
        <n v="99193"/>
        <n v="99194"/>
        <n v="99197"/>
        <n v="99198"/>
        <n v="99220"/>
        <n v="99222"/>
        <n v="99230"/>
        <n v="99235"/>
        <n v="99236"/>
        <n v="99240"/>
        <n v="99260"/>
        <n v="99270"/>
        <n v="99280"/>
        <n v="99283"/>
        <n v="99288"/>
        <n v="99290"/>
        <n v="99291"/>
        <n v="99292"/>
        <n v="99298"/>
        <n v="99299"/>
        <n v="99306"/>
        <n v="99307"/>
        <n v="99309"/>
        <n v="99310"/>
        <n v="99311"/>
        <n v="99313"/>
        <n v="99316"/>
        <n v="99317"/>
        <n v="99318"/>
        <n v="99329"/>
        <n v="99330"/>
        <n v="99333"/>
        <n v="99336"/>
        <n v="99337"/>
        <n v="99338"/>
        <n v="99339"/>
        <n v="99341"/>
        <n v="99342"/>
        <n v="99343"/>
        <n v="99344"/>
        <n v="99348"/>
        <n v="99349"/>
        <n v="99350"/>
        <n v="99360"/>
        <n v="99371"/>
        <n v="99372"/>
        <n v="99373"/>
        <n v="99374"/>
        <n v="99377"/>
        <n v="99380"/>
        <n v="99381"/>
        <n v="99390"/>
        <n v="99391"/>
        <n v="99400"/>
        <n v="99410"/>
        <n v="99411"/>
        <n v="99420"/>
        <n v="99421"/>
        <n v="99422"/>
        <n v="99430"/>
        <n v="99438"/>
        <n v="99439"/>
        <n v="99440"/>
        <n v="99441"/>
        <n v="99442"/>
        <n v="99444"/>
        <n v="99446"/>
        <n v="99447"/>
        <n v="99448"/>
        <n v="99450"/>
        <n v="99451"/>
        <n v="99452"/>
        <n v="99454"/>
        <n v="99460"/>
        <n v="99464"/>
        <n v="99466"/>
        <n v="99467"/>
        <n v="99468"/>
        <n v="99469"/>
        <n v="99471"/>
        <n v="99479"/>
        <n v="99480"/>
        <n v="99490"/>
        <n v="99495"/>
        <n v="99499"/>
        <n v="99523"/>
        <n v="99525"/>
        <n v="99526"/>
        <n v="99530"/>
        <n v="99540"/>
        <n v="99543"/>
        <n v="99544"/>
        <n v="99554"/>
        <n v="99556"/>
        <n v="99560"/>
        <n v="99566"/>
        <n v="99570"/>
        <n v="99574"/>
        <n v="99576"/>
        <n v="99580"/>
        <n v="99585"/>
        <n v="99590"/>
        <n v="99595"/>
        <n v="99597"/>
        <n v="99599"/>
        <n v="99602"/>
        <n v="99610"/>
        <n v="99613"/>
        <n v="99615"/>
        <n v="99620"/>
        <n v="99630"/>
        <n v="99639"/>
        <n v="99640"/>
        <n v="99650"/>
        <n v="99660"/>
        <n v="99667"/>
        <n v="99670"/>
        <n v="99671"/>
        <n v="99672"/>
        <n v="99673"/>
        <n v="99674"/>
        <n v="99680"/>
        <n v="99684"/>
        <n v="99688"/>
        <n v="99689"/>
        <n v="99690"/>
        <n v="99700"/>
        <n v="99702"/>
        <n v="99710"/>
        <n v="99713"/>
        <n v="99720"/>
        <n v="99724"/>
        <n v="99745"/>
        <n v="99746"/>
        <n v="99751"/>
        <n v="99771"/>
        <n v="99779"/>
        <n v="99782"/>
        <n v="99783"/>
        <n v="99790"/>
        <n v="99799"/>
        <n v="99801"/>
        <n v="99802"/>
        <n v="99808"/>
        <n v="99809"/>
        <n v="99810"/>
        <n v="99816"/>
        <n v="99817"/>
        <n v="99818"/>
        <n v="99819"/>
        <n v="99820"/>
        <n v="99830"/>
        <n v="99831"/>
        <n v="99832"/>
        <n v="99841"/>
        <n v="99850"/>
        <n v="99854"/>
        <n v="99855"/>
        <n v="99856"/>
        <n v="99857"/>
        <n v="99859"/>
        <n v="99860"/>
        <n v="99861"/>
        <n v="99862"/>
        <n v="99863"/>
        <n v="99867"/>
        <n v="99868"/>
        <n v="99869"/>
        <n v="99870"/>
        <n v="99871"/>
        <n v="99874"/>
        <n v="99876"/>
        <n v="99880"/>
        <s v="99880m"/>
        <n v="99885"/>
        <n v="99890"/>
        <n v="99894"/>
        <n v="99898"/>
        <n v="99901"/>
        <n v="99903"/>
        <n v="99908"/>
        <n v="99909"/>
        <n v="99910"/>
        <n v="99911"/>
        <n v="99912"/>
        <n v="99920"/>
        <n v="99930"/>
        <n v="99934"/>
        <n v="99940"/>
        <n v="99949"/>
        <s v="99949m"/>
        <n v="99950"/>
        <n v="99951"/>
        <n v="99952"/>
        <n v="99955"/>
        <n v="99956"/>
        <n v="99957"/>
        <n v="99960"/>
        <n v="99961"/>
        <n v="99962"/>
        <n v="99970"/>
        <n v="99972"/>
        <n v="99973"/>
        <n v="99980"/>
        <n v="99987"/>
        <n v="99989"/>
        <s v="99850M"/>
        <n v="60110"/>
        <n v="60546"/>
        <n v="98964"/>
        <n v="60849"/>
        <n v="60488"/>
        <n v="60809"/>
        <n v="61150"/>
        <n v="61550"/>
        <n v="61200"/>
        <n v="60816"/>
        <n v="60148"/>
        <n v="60398"/>
        <n v="60497"/>
        <n v="60594"/>
        <n v="60634"/>
        <n v="60791"/>
        <n v="60792"/>
        <n v="60817"/>
        <n v="99686"/>
        <n v="60796"/>
        <n v="60798"/>
        <n v="60711"/>
        <n v="60425"/>
        <n v="99971"/>
        <n v="60059"/>
        <n v="60775"/>
        <n v="99714"/>
        <n v="99564"/>
        <n v="60385"/>
        <n v="60560"/>
        <n v="99247"/>
        <n v="60554"/>
        <n v="60558"/>
        <n v="60419"/>
        <n v="99249"/>
        <n v="60559"/>
        <n v="99743"/>
        <n v="61650"/>
        <n v="99821"/>
        <n v="99823"/>
        <n v="60617"/>
        <n v="60105"/>
        <n v="61300"/>
        <n v="99875"/>
        <n v="60405"/>
        <n v="60813"/>
        <n v="60948"/>
        <n v="60597"/>
        <n v="60632"/>
        <n v="60116"/>
        <n v="60083"/>
        <n v="61750"/>
        <n v="60146"/>
        <n v="60608"/>
        <n v="60735"/>
        <n v="99946"/>
        <n v="99904"/>
        <n v="60415"/>
        <n v="99998"/>
        <n v="99982"/>
        <n v="60763"/>
        <n v="99651"/>
        <n v="99696"/>
        <n v="99954"/>
        <n v="99958"/>
        <n v="99964"/>
        <n v="60732"/>
        <n v="60728"/>
        <n v="60738"/>
        <n v="60470"/>
        <n v="60373"/>
        <n v="60311"/>
        <n v="60080"/>
        <n v="60422"/>
        <n v="60314"/>
        <n v="60237"/>
        <n v="60247"/>
        <n v="61050"/>
        <n v="61800"/>
        <n v="61350"/>
        <n v="60633"/>
        <n v="60984"/>
        <n v="99963"/>
        <n v="60451"/>
        <n v="60985"/>
        <n v="60170"/>
        <n v="60825"/>
        <n v="60826"/>
        <n v="60104"/>
        <n v="61600"/>
        <n v="60433"/>
        <n v="60547"/>
        <n v="60238"/>
        <n v="60460"/>
        <n v="60413"/>
        <n v="60469"/>
        <n v="60577"/>
        <n v="60501"/>
        <n v="61850"/>
        <n v="60573"/>
        <n v="99995"/>
        <n v="60619"/>
        <n v="60691"/>
        <n v="60618"/>
        <n v="60322"/>
        <n v="60452"/>
        <n v="60611"/>
        <n v="60323"/>
        <n v="60461"/>
        <n v="60564"/>
        <n v="60427"/>
        <n v="60571"/>
        <n v="60811"/>
        <n v="60684"/>
        <n v="60685"/>
        <n v="60686"/>
        <n v="60687"/>
        <n v="60688"/>
        <n v="60689"/>
        <n v="60690"/>
        <n v="60692"/>
        <n v="60603"/>
        <n v="60602"/>
        <n v="60751"/>
        <n v="60601"/>
        <n v="99994"/>
        <n v="60934"/>
        <n v="60568"/>
        <n v="60615"/>
        <n v="60933"/>
        <n v="61950"/>
        <n v="60740"/>
        <n v="60939"/>
        <n v="60797"/>
        <n v="60243"/>
        <n v="61900"/>
        <n v="60754"/>
        <n v="60122"/>
        <n v="60058"/>
        <n v="60417"/>
        <n v="99352"/>
        <n v="60790"/>
        <n v="60730"/>
        <n v="99528"/>
        <n v="60815"/>
        <n v="60810"/>
        <n v="60607"/>
        <n v="99223"/>
        <n v="99558"/>
        <n v="99587"/>
        <n v="60997"/>
        <n v="99878"/>
        <n v="60736"/>
        <n v="60507"/>
        <n v="99512"/>
        <m/>
      </sharedItems>
    </cacheField>
    <cacheField name="PEAQ MODEL" numFmtId="0">
      <sharedItems containsBlank="1"/>
    </cacheField>
    <cacheField name="MSN" numFmtId="0">
      <sharedItems containsBlank="1" containsMixedTypes="1" containsNumber="1" containsInteger="1" minValue="3002863" maxValue="30025249"/>
    </cacheField>
    <cacheField name="STARY MSN" numFmtId="0">
      <sharedItems containsBlank="1" containsMixedTypes="1" containsNumber="1" containsInteger="1" minValue="30018316" maxValue="30023285"/>
    </cacheField>
    <cacheField name="KOLOR" numFmtId="0">
      <sharedItems containsBlank="1"/>
    </cacheField>
    <cacheField name="RODZAJ PANELA" numFmtId="0">
      <sharedItems containsBlank="1"/>
    </cacheField>
    <cacheField name="HDD " numFmtId="0">
      <sharedItems containsBlank="1"/>
    </cacheField>
    <cacheField name="RAM  " numFmtId="0">
      <sharedItems containsBlank="1"/>
    </cacheField>
    <cacheField name="CPU" numFmtId="0">
      <sharedItems containsBlank="1"/>
    </cacheField>
    <cacheField name="TAKTOWANIE" numFmtId="0">
      <sharedItems containsBlank="1"/>
    </cacheField>
    <cacheField name="OS" numFmtId="0">
      <sharedItems containsBlank="1"/>
    </cacheField>
    <cacheField name="NR SWM" numFmtId="0">
      <sharedItems containsBlank="1" containsMixedTypes="1" containsNumber="1" containsInteger="1" minValue="20054293" maxValue="40051058" count="262">
        <s v="Przywracamy oryginalny"/>
        <s v="20062823/20062416"/>
        <n v="20061796"/>
        <n v="20061818"/>
        <n v="20063699"/>
        <n v="20062282"/>
        <n v="20063388"/>
        <n v="20062248"/>
        <n v="20062458"/>
        <n v="20063219"/>
        <n v="20062207"/>
        <n v="20062524"/>
        <n v="20062411"/>
        <n v="20062527"/>
        <n v="20062441"/>
        <n v="20060376"/>
        <n v="20062529"/>
        <n v="20063544"/>
        <n v="20062447"/>
        <s v="20062493/2446"/>
        <n v="20063241"/>
        <n v="20062665"/>
        <s v="-"/>
        <n v="20062393"/>
        <n v="20062778"/>
        <n v="20063525"/>
        <n v="20062666"/>
        <n v="20062400"/>
        <n v="20062189"/>
        <n v="20060809"/>
        <n v="20063432"/>
        <n v="20062398"/>
        <n v="20062667"/>
        <n v="20062490"/>
        <n v="20065318"/>
        <n v="20063442"/>
        <n v="20062664"/>
        <n v="20062822"/>
        <n v="20062423"/>
        <n v="20064511"/>
        <n v="20062955"/>
        <n v="20062949"/>
        <n v="20062971"/>
        <n v="20063399"/>
        <n v="20063364"/>
        <s v="20063169/2822"/>
        <n v="20063299"/>
        <n v="20062970"/>
        <n v="20063663"/>
        <n v="20063526"/>
        <n v="20062972"/>
        <n v="20064574"/>
        <n v="20063379"/>
        <n v="20063521"/>
        <n v="20062414"/>
        <n v="20063449"/>
        <n v="20063913"/>
        <n v="20063618"/>
        <n v="20063641"/>
        <n v="20064353"/>
        <n v="20063626"/>
        <n v="20061915"/>
        <n v="20064177"/>
        <n v="20065185"/>
        <n v="20063469"/>
        <n v="20063532"/>
        <n v="20063875"/>
        <n v="20063876"/>
        <n v="20064220"/>
        <n v="20063625"/>
        <n v="20064803"/>
        <n v="20063861"/>
        <n v="20064549"/>
        <n v="20064573"/>
        <n v="20064475"/>
        <n v="20064114"/>
        <n v="20064185"/>
        <n v="20064036"/>
        <n v="20064577"/>
        <n v="20065186"/>
        <n v="20064695"/>
        <n v="20058873"/>
        <s v="20059775 / 20059776"/>
        <n v="20056439"/>
        <s v="20058321 / 20058322"/>
        <s v="20058875 / 20058876"/>
        <s v="20060089 / 20060090"/>
        <n v="20058998"/>
        <s v="20057923 / 20057801"/>
        <n v="20057819"/>
        <s v="20057830 lub 20057819"/>
        <n v="20057646"/>
        <s v="20059560 / 20058874"/>
        <n v="20058695"/>
        <n v="20058580"/>
        <s v="20058127 / 20058128"/>
        <s v="20059074 / 20058696"/>
        <s v="20058102/20058103"/>
        <n v="20060730"/>
        <n v="20055980"/>
        <n v="20054293"/>
        <n v="20054586"/>
        <n v="20054294"/>
        <n v="20054774"/>
        <n v="20055163"/>
        <n v="20054376"/>
        <n v="20058938"/>
        <n v="20059371"/>
        <n v="20058996"/>
        <n v="20059000"/>
        <n v="40045358"/>
        <n v="20058982"/>
        <s v="20058983 / 20058984"/>
        <n v="20059025"/>
        <n v="20061132"/>
        <n v="20054773"/>
        <n v="20054997"/>
        <n v="20054843"/>
        <n v="20055942"/>
        <n v="20059372"/>
        <s v="20059355/ 20059356"/>
        <n v="20059327"/>
        <n v="20059328"/>
        <n v="20059359"/>
        <n v="20060255"/>
        <n v="20054462"/>
        <n v="20056997"/>
        <n v="20056135"/>
        <n v="20056136"/>
        <n v="20056278"/>
        <n v="20056290"/>
        <n v="20056490"/>
        <n v="20057390"/>
        <n v="40049154"/>
        <s v="40050123 / 40050124"/>
        <n v="20056952"/>
        <n v="20059869"/>
        <n v="40050125"/>
        <n v="20059872"/>
        <s v="20057492 / 20057493"/>
        <n v="20060121"/>
        <n v="20059873"/>
        <n v="20057494"/>
        <n v="40051058"/>
        <n v="20059860"/>
        <s v="20060080 / 20060082"/>
        <n v="20059110"/>
        <n v="20060120"/>
        <n v="40050126"/>
        <s v="40051056 / 40051057"/>
        <n v="20060526"/>
        <n v="20060527"/>
        <n v="20061144"/>
        <n v="20060170"/>
        <n v="20060470"/>
        <n v="20060826"/>
        <n v="20062304"/>
        <n v="40047039"/>
        <n v="20061106"/>
        <n v="20060245"/>
        <s v="20060249 / 20060250"/>
        <s v="20060251 / 20060252"/>
        <n v="20060908"/>
        <s v="40051741 / 40051742"/>
        <n v="20059570"/>
        <n v="20058877"/>
        <n v="20058697"/>
        <n v="20060561"/>
        <n v="20059441"/>
        <n v="20059759"/>
        <s v="20058565/20058564"/>
        <n v="20060246"/>
        <n v="20060473"/>
        <n v="20061820"/>
        <n v="20061387"/>
        <n v="20060947"/>
        <n v="20060855"/>
        <n v="20060248"/>
        <n v="20059189"/>
        <s v="20061354/1355"/>
        <n v="20061170"/>
        <n v="20061630"/>
        <n v="20062264"/>
        <n v="20061369"/>
        <n v="20061113"/>
        <n v="20061245"/>
        <n v="20061408"/>
        <n v="20061256"/>
        <n v="20061252"/>
        <n v="20061773"/>
        <n v="20061355"/>
        <n v="20062542"/>
        <n v="20061374"/>
        <n v="20060556"/>
        <n v="20061609"/>
        <s v="20061739/1740"/>
        <n v="20061707"/>
        <n v="20061924"/>
        <n v="20062093"/>
        <n v="20062180"/>
        <n v="20062205"/>
        <n v="20062323"/>
        <n v="20061798"/>
        <n v="20061327"/>
        <n v="20064575"/>
        <n v="20064717"/>
        <n v="20064579"/>
        <n v="20064570"/>
        <n v="20063926"/>
        <s v="20063618/3524"/>
        <n v="20064648"/>
        <n v="20064642"/>
        <n v="20063957"/>
        <n v="20063523"/>
        <n v="20062401"/>
        <n v="20064373"/>
        <n v="20063811"/>
        <n v="20063749"/>
        <n v="20063374"/>
        <n v="20061726"/>
        <n v="20064934"/>
        <n v="20062096"/>
        <n v="20061744"/>
        <n v="20064682"/>
        <n v="20061967"/>
        <n v="20064414"/>
        <n v="20064834"/>
        <n v="20063938"/>
        <n v="20062204"/>
        <n v="20062819"/>
        <n v="20064942"/>
        <n v="20064223"/>
        <n v="20064178"/>
        <n v="20062416"/>
        <n v="20065001"/>
        <n v="20064777"/>
        <n v="20063244"/>
        <n v="20065033"/>
        <s v="20064732/4564"/>
        <s v="20061178/1355"/>
        <n v="20065179"/>
        <n v="20063860"/>
        <n v="20064417"/>
        <n v="20063593"/>
        <n v="20064226"/>
        <n v="20063877"/>
        <n v="20064840"/>
        <n v="20065131"/>
        <n v="20065640"/>
        <n v="20064497"/>
        <n v="20065354"/>
        <n v="20064719"/>
        <n v="20061131"/>
        <s v="20061178/1354"/>
        <n v="20065641"/>
        <n v="20065030"/>
        <n v="20061618"/>
        <m/>
        <n v="20063431" u="1"/>
        <n v="20062882" u="1"/>
        <n v="20061178" u="1"/>
        <n v="20063169" u="1"/>
      </sharedItems>
    </cacheField>
    <cacheField name="INFORMACJE O OBRAZIE" numFmtId="0">
      <sharedItems containsBlank="1"/>
    </cacheField>
    <cacheField name="WSKAZOWKI" numFmtId="0">
      <sharedItems containsBlank="1"/>
    </cacheField>
    <cacheField name="MODEL OBUDOWY" numFmtId="0">
      <sharedItems containsBlank="1"/>
    </cacheField>
    <cacheField name="MODEL PLYTY" numFmtId="0">
      <sharedItems containsBlank="1"/>
    </cacheField>
    <cacheField name="PRODUCENT PLYTY" numFmtId="0">
      <sharedItems containsBlank="1"/>
    </cacheField>
    <cacheField name="SHIPPING" numFmtId="0">
      <sharedItems containsBlank="1"/>
    </cacheField>
    <cacheField name="Zasilacz" numFmtId="0">
      <sharedItems containsBlank="1" containsMixedTypes="1" containsNumber="1" containsInteger="1" minValue="40050731" maxValue="40063271"/>
    </cacheField>
    <cacheField name="Linia" numFmtId="0">
      <sharedItems containsBlank="1" containsMixedTypes="1" containsNumber="1" containsInteger="1" minValue="1" maxValue="4"/>
    </cacheField>
    <cacheField name="Grafik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1">
  <r>
    <n v="30020624"/>
    <x v="0"/>
    <n v="30020624"/>
    <n v="30023094"/>
    <s v="CNB PEAQ P1211T PMMC1010-I01B3 MD60011BE ref"/>
    <s v="Touch / NON GLARE"/>
    <s v=" 64 GB eMMC"/>
    <s v="2048 MB"/>
    <s v="Intel® Atom® Processor Z3735F"/>
    <s v="1,33 GHz"/>
    <s v="MS Windows 10 Home"/>
    <n v="20061796"/>
    <s v="Pendrive"/>
    <s v="KB - BE /  zamiast recovery reimage"/>
    <x v="0"/>
    <s v="BIOS 1.03 EC 10301"/>
  </r>
  <r>
    <n v="30019134"/>
    <x v="1"/>
    <n v="30019134"/>
    <n v="30020998"/>
    <s v="NB PEAQ PNB C1014 I1NL MD99338 Ref"/>
    <s v="NON GLARE"/>
    <s v="SSD 32 GB"/>
    <s v="2048 MB"/>
    <s v="Intel® Celeron® Processor N2940"/>
    <s v="1.83 GHz"/>
    <s v="MS Windows® 10"/>
    <n v="20060527"/>
    <s v="Pendrive - WYBIERAMY 2 OPCJĘ "/>
    <s v="Klawiatura NL, Zamiast Recovery - image z pendrive"/>
    <x v="0"/>
    <s v="MB TF NDBT1401: BIOS: 1.03; EC: 1.04.80"/>
  </r>
  <r>
    <n v="30018321"/>
    <x v="2"/>
    <n v="30018321"/>
    <n v="30021005"/>
    <s v="WTAB PEAQ E1233T WIN MD99098NL Ref"/>
    <s v="TOUCH/GLARE"/>
    <s v="emmc 16GB"/>
    <s v="2048 MB"/>
    <s v="Intel® Atom® Processor Z3735F"/>
    <s v="1,33 GHz"/>
    <s v="MS Windows® 8.1 with Bing"/>
    <n v="20059025"/>
    <s v="Pendrive USB"/>
    <s v="KB NL"/>
    <x v="0"/>
    <s v="B5CN81WW(V8.1&amp;V1.4) PEAQ"/>
  </r>
  <r>
    <n v="30018690"/>
    <x v="3"/>
    <n v="30018690"/>
    <n v="30021006"/>
    <s v="CNB PEAQ P2213T MD99188 NL Ref"/>
    <s v="Touch / NON GLARE"/>
    <s v="HDD 500 GB; eMMC 32GB"/>
    <s v="4096 MB"/>
    <s v="Intel® Pentium® Processor N3540"/>
    <s v="2,16 GHz"/>
    <s v="MS Windows® 8.1 "/>
    <s v="20059355/ 20059356"/>
    <s v="USB HDD"/>
    <s v="KB - NL, po testach recovery z pod system, pratycję D:// dogrywamy przez HDClone z dysku z image."/>
    <x v="1"/>
    <s v="BIOS: 707; firmware: HDD&amp;DOCK(204); W urządzeniu powinien być ustawiony shipping mode Akku."/>
  </r>
  <r>
    <n v="30018694"/>
    <x v="4"/>
    <n v="30018694"/>
    <n v="30021007"/>
    <s v="NB PEAQPNB1115 I5NL ALURSMD99197NL Ref"/>
    <s v="NON GLARE"/>
    <s v="SSHD 500 GB"/>
    <s v="4096 MB"/>
    <s v="Intel Core i5-5200U Prozessor"/>
    <s v="2,2, GHz"/>
    <s v="MS Windows® 8.1 "/>
    <n v="20059359"/>
    <s v="HDD"/>
    <s v="KB - NL"/>
    <x v="0"/>
    <s v="MB IVT Pol: Win8 BIOS: 130,  !!!  Win10 BIOS: 180."/>
  </r>
  <r>
    <n v="30018668"/>
    <x v="5"/>
    <n v="30018668"/>
    <n v="30020996"/>
    <s v="WTAB PEAQ PMM C1008 I01NL MD99186 Ref"/>
    <s v="TOUCH/GLARE"/>
    <s v="SSD 32 GB"/>
    <s v="2048 MB"/>
    <s v="Intel® Atom® Processor Z3735F"/>
    <s v="1,33 GHz"/>
    <s v="MS Windows® 8.1 with Bing"/>
    <n v="20059372"/>
    <s v="Pendrive USB"/>
    <s v="KB - NL, po testach recovery z pod system"/>
    <x v="0"/>
    <s v="BIOS: 103;  EC 10301"/>
  </r>
  <r>
    <n v="30018319"/>
    <x v="6"/>
    <n v="30018319"/>
    <n v="30020995"/>
    <s v="NB PEAQ P2213T 2IN1 MD99097 NL Ref"/>
    <s v="Touch / NON GLARE"/>
    <s v="HDD 500 GB; eMMC 64GB"/>
    <s v="4096 MB"/>
    <s v="Intel® Pentium® Processor N3540"/>
    <s v="2,16 GHz"/>
    <s v="MS Windows® 8.1 "/>
    <s v="20058983 / 20058984"/>
    <s v="Pendrive z Tableta przez przejscowke USBmicro 3.0 "/>
    <s v="Wykasować dispartem dyski, po skasowaniu dysków podpiąć PEN z image i zamknąć okienko konsoli. Uruchomi się i nagra sam./ KB - NL,   "/>
    <x v="1"/>
    <s v="BIOS: 707; firmware: HDD&amp;DOCK(204); W urządzeniu powinien być ustawiony shipping mode Akku."/>
  </r>
  <r>
    <n v="30018669"/>
    <x v="7"/>
    <n v="30018669"/>
    <n v="30020997"/>
    <s v="WTAB PEAQ PMM C1008 I01NL MD99187 Ref"/>
    <s v="TOUCH/GLARE"/>
    <s v="SSD 32 GB"/>
    <s v="2048 MB"/>
    <s v="Intel® Atom® Processor Z3735F"/>
    <s v="1,33 GHz"/>
    <s v="MS Windows® 8.1 with Bing"/>
    <n v="20059372"/>
    <s v="Pendrive"/>
    <s v="KB - NL, po testach recovery z pod system"/>
    <x v="0"/>
    <s v="BIOS 1.03 EC 10301"/>
  </r>
  <r>
    <n v="30018316"/>
    <x v="8"/>
    <n v="30018316"/>
    <n v="30020994"/>
    <s v="NB PEAQ P2213T 2IN1 MD99096 NL Ref"/>
    <s v="Touch / NON GLARE"/>
    <s v="eMMC 64GB"/>
    <s v="2048 MB"/>
    <s v="Intel® Celeron® N2840"/>
    <s v="2,16 GHz"/>
    <s v="MS Windows® 8.1 "/>
    <n v="20058982"/>
    <s v="Pendrive z Tab 3.0 "/>
    <s v="KB - NL / zamiast recovery reimage"/>
    <x v="1"/>
    <s v="BIOS: 707; firmware: HDD&amp;DOCK(204); W urządzeniu powinien być ustawiony shipping mode Akku."/>
  </r>
  <r>
    <n v="30019938"/>
    <x v="9"/>
    <n v="30019938"/>
    <n v="30021031"/>
    <s v="NB PEAQ MD99688 NL Ref"/>
    <s v="NON GLARE"/>
    <s v="HDD 1 TB"/>
    <s v="6144 MB"/>
    <s v="Intel® Pentium®CPU 3825U"/>
    <s v="1,9 GHz"/>
    <s v="MS Windows® 10"/>
    <n v="20061408"/>
    <s v="Pendrive USB"/>
    <s v="KB-NL / sprawdzić czy jest HDD BAY !"/>
    <x v="0"/>
    <s v="MB IVT Pol: Win8 BIOS: 130,  !!!  Win10 BIOS: 180. "/>
  </r>
  <r>
    <n v="30018317"/>
    <x v="10"/>
    <n v="30018317"/>
    <n v="30021035"/>
    <s v="NB S6217 GOLF PEAG MD99091 NL Ref"/>
    <s v="GLARE"/>
    <s v="HDD 500 GB"/>
    <s v="4096 MB"/>
    <s v="Intel® Celeron® Processor N2940"/>
    <s v="1,83 GHz"/>
    <s v="MS Windows® 8.1 "/>
    <n v="20058938"/>
    <s v="HDD"/>
    <s v="KB - NL"/>
    <x v="0"/>
    <s v="MB IVT Golf: BIOS for WINDOWS 8 : 404R, for WINDOWS 10:  412R"/>
  </r>
  <r>
    <n v="30018322"/>
    <x v="11"/>
    <n v="30018322"/>
    <n v="30021030"/>
    <s v="NB E6419 PEAQ MD99094 NL Ref"/>
    <s v="NON GLARE"/>
    <s v="SSHD 1 TB"/>
    <s v="6144 MB"/>
    <s v="Intel® Pentium®CPU 3805U"/>
    <s v="1,9 GHz"/>
    <s v="MS Windows® 8.1 "/>
    <n v="20059000"/>
    <s v="HDD"/>
    <s v="KB - NL "/>
    <x v="0"/>
    <s v="MB IVT Pol: Win8 BIOS: 130,  !!!  Win10 BIOS: 180."/>
  </r>
  <r>
    <n v="30018692"/>
    <x v="12"/>
    <n v="30018692"/>
    <n v="30021032"/>
    <s v="NB PEAQ PNB S1015 I2NL MD99193 NL Ref"/>
    <s v="NON GLARE"/>
    <s v="SSHD 500 GB"/>
    <s v="4096 MB"/>
    <s v="Intel® Pentium®CPU 3540U"/>
    <s v="2.16 GHz"/>
    <s v="MS Windows® 8.1 "/>
    <n v="20059327"/>
    <s v="HDD"/>
    <s v="KB - NL "/>
    <x v="0"/>
    <s v="MB IVT Golf 2.0: BIOS for WINDOWS 8: 404R, for WINDOWS 10: 412R "/>
  </r>
  <r>
    <n v="30019276"/>
    <x v="13"/>
    <n v="30019276"/>
    <n v="30021034"/>
    <s v="NB PEAQ PNB C1011 I0N1 MD99439 NL Ref"/>
    <s v="NON GLARE"/>
    <s v="Flash 64 GB"/>
    <s v="2048 MB"/>
    <s v="Intel® Atom® Processor Z3735F"/>
    <s v="1,33 GHz"/>
    <s v="MS Windows 10 Home"/>
    <n v="20062778"/>
    <s v="Pendrive"/>
    <s v="KB - NL / zamiast recovery reimage"/>
    <x v="0"/>
    <s v="MB ECS EF20: BIOS W10: 1.00.12.MN, W8.1: 1.00.01.MN for Basis: S221x"/>
  </r>
  <r>
    <n v="30018693"/>
    <x v="14"/>
    <n v="30018693"/>
    <n v="30021038"/>
    <s v="CNB PEAQPNBS1115IMNL ALU MD99194NL Ref"/>
    <s v="NON GLARE"/>
    <s v="SSD 128 GB"/>
    <s v="4096 MB"/>
    <s v="Intel® Core TM m-5Y10c"/>
    <s v="0,80 - 2.0 GHz"/>
    <s v="MS Windows® 8.1 "/>
    <n v="20059328"/>
    <s v="SSD 128 GB"/>
    <s v="KB - NL "/>
    <x v="0"/>
    <s v="MB IVT Golf 2.0: BIOS for WINDOWS 8: 405R, for WINDOWS 10: 412R "/>
  </r>
  <r>
    <n v="30018318"/>
    <x v="15"/>
    <n v="30018318"/>
    <n v="30021033"/>
    <s v="NB S6417 GOLF PEAQ MD99092 NL Ref"/>
    <s v="NON GLARE"/>
    <s v="SSHD 500 GB"/>
    <s v="4096 MB"/>
    <s v="Intel® Core TM m-5Y10c"/>
    <s v="0,80 - 2.0 GHz"/>
    <s v="MS Windows® 8.1 "/>
    <n v="20059371"/>
    <s v="HDD"/>
    <s v="KB - NL "/>
    <x v="0"/>
    <s v="MB IVT Golf 2.0: BIOS for WINDOWS 8: 405R, for WINDOWS 10: 412R "/>
  </r>
  <r>
    <n v="30019151"/>
    <x v="16"/>
    <n v="30019151"/>
    <n v="30021036"/>
    <s v="NB PEAQ PNB C1015 I2N2 MD99342NL Ref"/>
    <s v="NON GLARE"/>
    <s v="SSD 128 GB 500 GB"/>
    <s v="8192 MB"/>
    <s v="Intel® Pentium®CPU 3805U"/>
    <s v="1,9 GHz"/>
    <s v="MS Windows® 10"/>
    <n v="20060470"/>
    <s v="Pendrive"/>
    <s v="KB - NL"/>
    <x v="0"/>
    <s v="MB IVT Pol: Win8 BIOS: 130,  !!!  Win10 BIOS: 180."/>
  </r>
  <r>
    <n v="30018320"/>
    <x v="17"/>
    <n v="30018320"/>
    <n v="30021043"/>
    <s v="NB P6515 Peaq MD99093 NL REF"/>
    <s v="NON GLARE"/>
    <s v="SSHD 500 GB"/>
    <s v="6144 MB"/>
    <s v="Intel Core i5-5200U Prozessor"/>
    <s v="2,2, GHz"/>
    <s v="MS Windows® 8.1 "/>
    <n v="20058996"/>
    <s v="HDD"/>
    <s v="KB - NL"/>
    <x v="0"/>
    <s v="MB IVT Pol: Win8 BIOS: 130,  !!!  Win10 BIOS: 180."/>
  </r>
  <r>
    <n v="30018691"/>
    <x v="18"/>
    <n v="30018691"/>
    <n v="30021041"/>
    <s v="NB PEAQ PNB P1115 - I2NL ALU MD99191 NL REF"/>
    <s v="NON GLARE"/>
    <s v="SSHD 500 GB"/>
    <s v="8192 MB"/>
    <s v="Intel® Pentium®CPU 3805U"/>
    <s v="1,9 GHz"/>
    <s v="MS Windows® 8.1 "/>
    <n v="20058996"/>
    <s v="HDD"/>
    <s v="KB -NL"/>
    <x v="0"/>
    <s v="MB IVT Pol: Win8 BIOS: 130,  !!!  Win10 BIOS: 180. "/>
  </r>
  <r>
    <n v="30019033"/>
    <x v="19"/>
    <n v="30019033"/>
    <n v="30021096"/>
    <s v="NB PEAQ P1115-I5CH ALU MD99291 REF"/>
    <s v="NON GLARE"/>
    <s v="SSHD 1 TB"/>
    <s v="8192 MB"/>
    <s v="Intel Core i5-5200U Prozessor"/>
    <s v="2,2, GHz"/>
    <s v="MS Windows® 8.1 "/>
    <n v="20059869"/>
    <s v="HDD"/>
    <s v="KB -CH"/>
    <x v="0"/>
    <s v="MB IVT Pol: Win8 BIOS: 130,  !!!  Win10 BIOS: 180."/>
  </r>
  <r>
    <n v="30019032"/>
    <x v="20"/>
    <n v="30019032"/>
    <n v="30022964"/>
    <s v="NB PEAQ S1115-IMCH ALU MD99298 REF"/>
    <s v="NON GLARE"/>
    <s v="HDD 1 TB"/>
    <s v="4096 MB"/>
    <s v="Intel® Core TM m-5Y10c"/>
    <s v="0,80 - 2.0 GHz"/>
    <s v="MS Windows® 8.1 "/>
    <n v="20059872"/>
    <s v="HDD"/>
    <s v="KB - CH"/>
    <x v="0"/>
    <s v="MB IVT Golf 2.0: BIOS for WINDOWS 8: 405R, for WINDOWS 10: 412R"/>
  </r>
  <r>
    <n v="30019034"/>
    <x v="21"/>
    <n v="30019034"/>
    <n v="30021097"/>
    <s v="NB PEAQ C1017-I2CH MD99306 REF"/>
    <s v="NON GLARE"/>
    <s v="HDD 1 TB"/>
    <s v="4096 MB"/>
    <s v="Intel® Pentium®CPU 3805U"/>
    <s v="1,9 GHz"/>
    <s v="MS Windows® 8.1 "/>
    <n v="20060121"/>
    <s v="HDD"/>
    <s v="KB - CH"/>
    <x v="1"/>
    <s v="MB PG D17D: BIOS: 703"/>
  </r>
  <r>
    <n v="30019035"/>
    <x v="22"/>
    <n v="30019035"/>
    <n v="30021081"/>
    <s v="NB PEAQ P1017 I5CH MD99307 REF (not w/o)"/>
    <s v="NON GLARE"/>
    <s v="SSHD 1 TB"/>
    <s v="8192 MB"/>
    <s v="Intel Core i5-5200U Prozessor"/>
    <s v="2,2, GHz"/>
    <s v="MS Windows® 8.1 "/>
    <n v="20059873"/>
    <s v="HDD"/>
    <s v="KB - CH"/>
    <x v="1"/>
    <s v="MB PG D17D: BIOS: 703 "/>
  </r>
  <r>
    <n v="30019036"/>
    <x v="23"/>
    <n v="30019036"/>
    <n v="30021090"/>
    <s v="NB PEAQ P1117-I7CH MD99309 REF"/>
    <s v="NON GLARE?"/>
    <s v="SSHD 1 TB"/>
    <s v="8192 MB"/>
    <s v="Intel Core i7-5500U Prozessor"/>
    <s v="2,4 Ghz"/>
    <s v="MS Windows® 10"/>
    <n v="20059873"/>
    <s v="HDD"/>
    <s v="KB -CH"/>
    <x v="1"/>
    <s v="MB PG D17D: BIOS: 703"/>
  </r>
  <r>
    <n v="30019136"/>
    <x v="24"/>
    <n v="30019136"/>
    <n v="30022965"/>
    <s v="CNB PEAQ PMM C1008 - I01NL MD99336 REF"/>
    <s v="TOUCH/GLARE"/>
    <s v="64 GB eMMC"/>
    <s v="2048 MB"/>
    <s v="Intel® Atom® Processor Z3735F"/>
    <s v="1,33 GHz"/>
    <s v="MS Windows® 10"/>
    <n v="20060526"/>
    <s v="Pendrive"/>
    <s v="KB - NL /  zamiast recovery reimage"/>
    <x v="0"/>
    <s v="BIOS: 103;  EC 10301"/>
  </r>
  <r>
    <n v="30019135"/>
    <x v="25"/>
    <n v="30019135"/>
    <n v="30022966"/>
    <s v="CNB PEAQ PMM C1010 - I01NL MD99337 REF"/>
    <s v="TOUCH/GLARE"/>
    <s v="64 GB eMMC"/>
    <s v="2048 MB"/>
    <s v="Intel® Atom® Processor Z3735F"/>
    <s v="1,33 GHz"/>
    <s v="MS Windows 10 "/>
    <n v="20060526"/>
    <s v="Pendrive"/>
    <s v="KB - NL /  zamiast recovery reimage"/>
    <x v="0"/>
    <s v="BIOS 1.03 EC 10301"/>
  </r>
  <r>
    <n v="30020223"/>
    <x v="25"/>
    <n v="30020223"/>
    <n v="30022966"/>
    <s v="CNB PEAQ PMM C1010 - I01NL MD99337 REF"/>
    <s v="TOUCH/GLARE"/>
    <s v="64 GB eMMC"/>
    <s v="2048 MB"/>
    <s v="Intel® Atom® Processor Z3735F"/>
    <s v="1,33 GHz"/>
    <s v="MS Windows 10 "/>
    <n v="20060526"/>
    <s v="Pendrive"/>
    <s v="KB - NL /  zamiast recovery reimage"/>
    <x v="0"/>
    <s v="BIOS 1.03 EC 10301"/>
  </r>
  <r>
    <n v="30019139"/>
    <x v="26"/>
    <n v="30019139"/>
    <n v="30022967"/>
    <s v="NB PEAQ PNB S1015 - I2NL MD99339 REF"/>
    <s v="NON GLARE"/>
    <s v="500 GB"/>
    <s v="4096 MB"/>
    <s v="Intel® Pentium® Processor N3540"/>
    <s v="2,16 GHz"/>
    <s v="MS Windows® 10"/>
    <n v="20061144"/>
    <s v="Pendrive"/>
    <s v="KB -NL"/>
    <x v="0"/>
    <s v="MB IVT Golf 2.0: BIOS for WINDOWS 8: 405R, for WINDOWS 10: 412R "/>
  </r>
  <r>
    <n v="30020147"/>
    <x v="26"/>
    <n v="30020147"/>
    <n v="30022967"/>
    <s v="NB PEAQ PNB S1015 - I2NL MD99339 REF"/>
    <s v="NON GLARE"/>
    <s v="500 GB"/>
    <s v="4096 MB"/>
    <s v="Intel® Pentium® Processor N3540"/>
    <s v="2,16 GHz"/>
    <s v="MS Windows® 10"/>
    <n v="20061144"/>
    <s v="Pendrive"/>
    <s v="KB -NL"/>
    <x v="0"/>
    <s v="MB IVT Golf 2.0: BIOS for WINDOWS 8: 405R, for WINDOWS 10: 412R "/>
  </r>
  <r>
    <n v="30019150"/>
    <x v="27"/>
    <n v="30019150"/>
    <n v="30021085"/>
    <s v="NB PEAQ PNB S1115-IM2N ALU MD99341 REF"/>
    <s v="NON GLARE ?"/>
    <s v="SSD 128 GB"/>
    <s v="4096 MB"/>
    <s v="Intel® Core TM m-5Y31"/>
    <s v="0,90 - 2.4 GHz"/>
    <s v="MS Windows® 10"/>
    <n v="20060170"/>
    <s v="Pendrive"/>
    <s v="KB -NL"/>
    <x v="0"/>
    <s v="MB IVT Golf 2.0: BIOS for WINDOWS 8: 405R, for WINDOWS 10: 412R "/>
  </r>
  <r>
    <n v="30019138"/>
    <x v="28"/>
    <n v="30019138"/>
    <n v="30021078"/>
    <s v="NB PEAQ PNB P1115 - I5NL ALURS MD99343 REF"/>
    <s v="NON GLARE"/>
    <s v="SSHD 1 TB"/>
    <s v="8192 MB"/>
    <s v="Intel Core i5-5200U Prozessor"/>
    <s v="2,2 Ghz"/>
    <s v="MS Windows® 10"/>
    <n v="20060826"/>
    <s v="Pendrive"/>
    <s v="KB -NL"/>
    <x v="0"/>
    <s v="MB IVT Pol: Win8 BIOS: 130,  !!!  Win10 BIOS: 180."/>
  </r>
  <r>
    <n v="30019137"/>
    <x v="29"/>
    <n v="30019137"/>
    <n v="30021084"/>
    <s v="NB PEAQ PNB P1115-I7N2 ALURS MD99344 NL REF"/>
    <s v="NON GLARE"/>
    <s v="SSHD 1 TB"/>
    <s v="8192 MB"/>
    <s v="Intel Core i7-5500U Prozessor"/>
    <s v="2,4 Ghz"/>
    <s v="MS Windows® 10"/>
    <n v="20060826"/>
    <s v="Pendrive"/>
    <s v="KB -NL"/>
    <x v="0"/>
    <s v="MB IVT Pol: Win8 BIOS: 130,  !!!  Win10 BIOS: 180."/>
  </r>
  <r>
    <n v="30019300"/>
    <x v="30"/>
    <n v="30019300"/>
    <n v="30021048"/>
    <s v="CNB PEAQ PMM C1008 - I01B1 MD99442 BE REF"/>
    <s v="TOUCH/GLARE"/>
    <s v="32 GB eMMC"/>
    <s v="2048 MB"/>
    <s v="Intel® Atom® Processor Z3735F"/>
    <s v="1,33 GHz"/>
    <s v="MS Windows® 10"/>
    <n v="20060526"/>
    <s v="Pendrive"/>
    <s v="KB - BE /  zamiast recovery reimage"/>
    <x v="0"/>
    <s v="BIOS: 103;  EC 10301"/>
  </r>
  <r>
    <n v="30019279"/>
    <x v="31"/>
    <n v="30019279"/>
    <n v="30021100"/>
    <s v="CNB PEAQ PMM C1010 - I01B1 MD99446 BE REF"/>
    <s v="TOUCH/GLARE"/>
    <s v="64 GB eMMC"/>
    <s v="2048 MB"/>
    <s v="Intel® Atom® Processor Z3735F"/>
    <s v="1,33 GHz"/>
    <s v="MS Windows® 10"/>
    <n v="20060526"/>
    <s v="Pendrive"/>
    <m/>
    <x v="0"/>
    <s v="BIOS 1.03 EC 10301"/>
  </r>
  <r>
    <n v="30019278"/>
    <x v="32"/>
    <n v="30019278"/>
    <n v="30021039"/>
    <s v="NB PEAQ PNB C1014 - I1B1 MD99447 BE REF"/>
    <s v="NON GLARE"/>
    <s v="32 GB eMMC"/>
    <s v="2048 MB"/>
    <s v="Intel® Celeron® Processor N2940"/>
    <s v="1.83 GHz"/>
    <s v="MS Windows® 10"/>
    <n v="20060527"/>
    <s v="Pendrive"/>
    <s v="Sprawdzić czy w kieszani nie ma dodatkowego HDD/ KB - BE /  zamiast recovery reimage /problem z kamera -&gt; wl/ wylacz klawiszem Fn"/>
    <x v="0"/>
    <s v="MB TF NDBT1401: BIOS: 1.03; EC: 1.04.80"/>
  </r>
  <r>
    <n v="30019301"/>
    <x v="33"/>
    <n v="30019301"/>
    <n v="30021072"/>
    <s v="NB PEAQ PNB P1115 - I5B1 ALU MD99448 BE REF"/>
    <s v="NON GLARE"/>
    <s v="SSHD 1 TB"/>
    <s v="8192 MB"/>
    <s v="Intel Core i5-5200U Prozessor"/>
    <s v="2,2 Ghz"/>
    <s v="MS Windows® 10"/>
    <n v="20060255"/>
    <s v="Pendrive"/>
    <s v="KB -BE"/>
    <x v="0"/>
    <s v="MB IVT Pol: Win8 BIOS: 130,  !!!  Win10 BIOS: 180."/>
  </r>
  <r>
    <n v="30019324"/>
    <x v="34"/>
    <n v="30019324"/>
    <n v="30021087"/>
    <s v="NB PEAQ PNB P1117 - I7B1 MD99464 BE REF"/>
    <s v="NON GLARE"/>
    <s v="SSD 128 GB;  HDD 1 TB"/>
    <s v="12288 MB"/>
    <s v="Intel Core i7-5500U Prozessor"/>
    <s v="2,4 Ghz"/>
    <s v="MS Windows® 10"/>
    <n v="20060473"/>
    <s v="Pendrive"/>
    <m/>
    <x v="1"/>
    <s v="MB PG D17D: BIOS: 703 "/>
  </r>
  <r>
    <n v="30019323"/>
    <x v="35"/>
    <n v="30019323"/>
    <n v="30021059"/>
    <s v="NB PEAQ PNB P1017 - I5B1 MD99467 BE REF"/>
    <s v="NON GLARE"/>
    <s v="SSHD 1 TB"/>
    <s v="8192 MB"/>
    <s v="Intel Core i5-5200U Prozessor"/>
    <s v="2,2 Ghz"/>
    <s v="MS Windows® 10"/>
    <n v="20060473"/>
    <s v="Pendrive"/>
    <m/>
    <x v="1"/>
    <s v="MB PG D17D: BIOS: 703"/>
  </r>
  <r>
    <n v="30019317"/>
    <x v="36"/>
    <n v="30019317"/>
    <n v="30021058"/>
    <s v="NB PEAQ PNB P1115-I7B1 ALURS MD99468 BE REF"/>
    <s v="NON GLARE"/>
    <s v="SSD 128 GB;  HDD BAY 1 TB"/>
    <s v="12288 MB"/>
    <s v="Intel Core i7-5500U Prozessor"/>
    <s v="2,4 Ghz"/>
    <s v="MS Windows® 10"/>
    <n v="20060255"/>
    <s v="Pendrive"/>
    <s v="KB -  BE"/>
    <x v="0"/>
    <s v="MB IVT Pol: Win8 BIOS: 130,  !!!  Win10 BIOS: 180."/>
  </r>
  <r>
    <n v="30019316"/>
    <x v="37"/>
    <n v="30019316"/>
    <n v="30021057"/>
    <s v="NB PEAQ PNB C1015 - I5B1 MD99469 BE REF"/>
    <s v="NON GLARE"/>
    <s v="SSHD 500 GB"/>
    <s v="6144 MB"/>
    <s v="Intel Core i5-5200U Prozessor"/>
    <s v="2,2, GHz"/>
    <s v="MS Windows® 10"/>
    <n v="20060470"/>
    <s v="Pendrive"/>
    <s v="KB -  BE"/>
    <x v="0"/>
    <s v="MB IVT Pol: Win8 BIOS: 130,  !!!  Win10 BIOS: 180."/>
  </r>
  <r>
    <n v="30019463"/>
    <x v="38"/>
    <n v="30019463"/>
    <n v="30021101"/>
    <s v="NB PEAQ MD99523 PNB S1013-I5N1 ULTRA REF"/>
    <s v="NON GLARE"/>
    <s v="SSHD 256 GB"/>
    <s v="8192 MB"/>
    <s v="Intel Core i5-5200U Prozessor"/>
    <s v="2,2, GHz"/>
    <s v="MS Windows® 10"/>
    <n v="20060855"/>
    <s v="Pendrive"/>
    <s v="KB - NL"/>
    <x v="0"/>
    <s v="BIOS ver.: V0004"/>
  </r>
  <r>
    <n v="30019851"/>
    <x v="39"/>
    <n v="30019851"/>
    <n v="30022968"/>
    <s v="NB PEAQ S6217 Golf MD99639NLPNBS1015 REF"/>
    <s v="NON GLARE"/>
    <s v="SSHD 500 GB"/>
    <s v="4096 MB"/>
    <s v="Intel® Pentium® Processor N3540"/>
    <s v="2,16 GHz"/>
    <s v="MS Windows® 10"/>
    <n v="20061144"/>
    <s v="Pendrive"/>
    <s v="KB - NL"/>
    <x v="0"/>
    <s v="MB IVT Golf 2.0: BIOS for WINDOWS 8: 405R, for WINDOWS 10: 412R"/>
  </r>
  <r>
    <n v="30019882"/>
    <x v="40"/>
    <n v="30019882"/>
    <n v="30021103"/>
    <s v="NB PEAQ PNB P1115 MD99671 NL REF"/>
    <s v="NON GLARE"/>
    <s v="SSHD 500 GB"/>
    <s v="4096 MB"/>
    <s v="Intel® Core TM i3 5005U"/>
    <s v="2,0 Ghz"/>
    <s v="MS Windows® 10"/>
    <n v="20061408"/>
    <s v="Pendrive"/>
    <s v="KB - NL"/>
    <x v="0"/>
    <s v="MB IVT Pol: Win8 BIOS: 130,  !!!  Win10 BIOS: 180. "/>
  </r>
  <r>
    <n v="30019848"/>
    <x v="41"/>
    <n v="30019848"/>
    <n v="30022969"/>
    <s v="NB PEAQ P1115 ALU MD99672 CH REF"/>
    <s v="NON GLARE"/>
    <s v="SSD 256 GB+ 500GB HDD"/>
    <s v="8192 MB"/>
    <s v="Intel® Core TM i3 5020U"/>
    <s v="2,2 Ghz"/>
    <s v="MS Windows® 10"/>
    <n v="20061256"/>
    <s v="Pendrive"/>
    <s v="KB - CH"/>
    <x v="0"/>
    <s v="MB IVT Pol: Win8 BIOS: 130,  !!!  Win10 BIOS: 180. "/>
  </r>
  <r>
    <n v="30019849"/>
    <x v="42"/>
    <n v="30019849"/>
    <n v="30023000"/>
    <s v="NB PEAQ PNB P2017–I7C1 MD99673 CH REF"/>
    <s v="NON GLARE"/>
    <s v="SSHD 1 TB"/>
    <s v="12288 MB"/>
    <s v="Intel Core i7-6500U Prozessor"/>
    <s v="2,5 Ghz"/>
    <s v="MS Windows® 10"/>
    <n v="20061252"/>
    <s v="Pendrive"/>
    <s v="KB - CH"/>
    <x v="1"/>
    <s v="MB PG D17S: BIOS: 218"/>
  </r>
  <r>
    <n v="30019900"/>
    <x v="43"/>
    <n v="30019900"/>
    <n v="30023001"/>
    <s v="NB PEAQ PNB C1011 MD99674 CH REF"/>
    <s v="NON GLARE?"/>
    <s v="64 GB eMMC"/>
    <s v="2048 MB"/>
    <s v="Intel® Atom® Processor Z3735F"/>
    <s v="1,33 GHz"/>
    <s v="MS Windows® 10"/>
    <n v="20061773"/>
    <s v="Pendrive"/>
    <s v="KB -CH  /  zamiast recovery reimage"/>
    <x v="0"/>
    <s v="MB ECS EF20: BIOS W10: 1.00.12.MN, W8.1: 1.00.01.MN for Basis: S221x"/>
  </r>
  <r>
    <n v="30019959"/>
    <x v="44"/>
    <n v="30019959"/>
    <n v="30023002"/>
    <s v="NB PEAQ PNB C1015-I3C1 MD99684 CH REF"/>
    <s v="NON GLARE"/>
    <s v="HDD 1 TB"/>
    <s v="6144 MB"/>
    <s v="Intel® Core TM i3 5005U"/>
    <s v="2,0 Ghz"/>
    <s v="MS Windows® 10"/>
    <n v="20061408"/>
    <s v="Pendrive"/>
    <s v="KB - CH"/>
    <x v="0"/>
    <s v="MB IVT Pol: Win8 BIOS: 130,  !!!  Win10 BIOS: 180."/>
  </r>
  <r>
    <n v="30020216"/>
    <x v="45"/>
    <n v="30020216"/>
    <n v="30023003"/>
    <s v="NB E6419 C1015-I2N4 ALUMD99799PEAQNL REF"/>
    <s v="NON GLARE"/>
    <s v="HDD 1 TB"/>
    <s v="6144 MB"/>
    <s v="Intel® Pentium®CPU 3825U"/>
    <s v="1,9 GHz"/>
    <s v="MS Windows® 10"/>
    <n v="20061408"/>
    <s v="Pendrive"/>
    <s v="KB -NL / sprawdzić czy jest HDD BAY !"/>
    <x v="0"/>
    <s v="MB IVT Pol: Win8 BIOS: 130,  !!!  Win10 BIOS: 180."/>
  </r>
  <r>
    <n v="30018695"/>
    <x v="46"/>
    <n v="30018695"/>
    <n v="30021054"/>
    <s v="NB PEAQ PNB P1115 - I7NL ALU MD99198 NL ref"/>
    <s v="NON GLARE"/>
    <s v="SSHD 500 GB"/>
    <s v="6144 MB"/>
    <s v="Intel Core i7-5500U Prozessor"/>
    <s v="2,4 Ghz"/>
    <s v="MS Windows® 10"/>
    <n v="20060255"/>
    <s v="Pendrive"/>
    <s v="KB -  NL"/>
    <x v="0"/>
    <s v="MB IVT Pol: Win8 BIOS: 130,  !!!  Win10 BIOS: 180. "/>
  </r>
  <r>
    <n v="30020222"/>
    <x v="24"/>
    <n v="30020222"/>
    <n v="30022965"/>
    <s v="CNB PEAQ PMM C1008 - I01NL MD99336 REF"/>
    <s v="TOUCH/GLARE"/>
    <s v="64 GB eMMC"/>
    <s v="2048 MB"/>
    <s v="Intel® Atom® Processor Z3735F"/>
    <s v="1,33 GHz"/>
    <s v="MS Windows® 10"/>
    <n v="20060526"/>
    <s v="Pendrive"/>
    <s v="KB - NL /  zamiast recovery reimage"/>
    <x v="0"/>
    <s v="BIOS: 103;  EC 10301"/>
  </r>
  <r>
    <n v="30020559"/>
    <x v="47"/>
    <n v="30020559"/>
    <n v="30023087"/>
    <s v="NB PEAQ S6219 PNB S1415-I2N1S MD60017 NL REF"/>
    <s v="NON GLARE"/>
    <s v="64 GB eMMC HDD 500 GB "/>
    <s v="4096 MB"/>
    <s v="Intel® Pentium® Processor N3700"/>
    <s v="2,4 Ghz"/>
    <s v="MS Windows® 10"/>
    <n v="20063699"/>
    <s v="Pendrive"/>
    <s v="KB - NL"/>
    <x v="0"/>
    <s v="BIOS ver.: 1.54; EC ver.: 1.15.80"/>
  </r>
  <r>
    <n v="30020249"/>
    <x v="48"/>
    <n v="30020249"/>
    <n v="30023110"/>
    <s v="CNB PEAQ PMM C1010 - I01B2 MD99818 BE REF"/>
    <s v="TOUCH/GLARE"/>
    <s v="64 GB eMMC"/>
    <s v="2048 MB"/>
    <s v="Intel® Atom® Processor Z3735F"/>
    <s v="1,33 GHz"/>
    <s v="MS Windows® 10"/>
    <n v="20060526"/>
    <s v="Pendrive"/>
    <s v="KB -  BE /  zamiast recovery reimage"/>
    <x v="0"/>
    <s v="BIOS 1.03 EC 10301"/>
  </r>
  <r>
    <n v="30020459"/>
    <x v="49"/>
    <n v="30020459"/>
    <n v="30023111"/>
    <s v="CNB PEAQ P1211T PMMC1010–I02N3 MD99909NL REF"/>
    <s v="TOUCH/GLARE"/>
    <s v="64 GB eMMC"/>
    <s v="2048 MB"/>
    <s v="Intel® Atom® Processor Z3735F"/>
    <s v="1,33 GHz"/>
    <s v="MS Windows® 10"/>
    <n v="20060526"/>
    <s v="Pendrive"/>
    <s v="KB -  NL /  zamiast recovery reimage"/>
    <x v="0"/>
    <s v="BIOS 1.03 EC 10301"/>
  </r>
  <r>
    <n v="30020662"/>
    <x v="50"/>
    <n v="30020662"/>
    <n v="30023089"/>
    <s v="NB PEAQ P6663 PNB P2015-I5N1 MD60021 NL REF"/>
    <s v="NON GLARE"/>
    <s v="SSD 128 GB;  HDD 1 TB"/>
    <s v="12288 MB"/>
    <s v="Intel Core i5-6200U Prozessor"/>
    <s v="2,3 Ghz"/>
    <s v="MS Windows® 10"/>
    <n v="20062248"/>
    <s v="Pendrive"/>
    <s v="KB - NL"/>
    <x v="0"/>
    <s v="Bios 1.07 (C2015) w razie problemów z kb dograć EC"/>
  </r>
  <r>
    <n v="30020661"/>
    <x v="51"/>
    <n v="30020661"/>
    <n v="30023088"/>
    <s v="NB PEAQ E6425 PNB C2015-I5N1 MD60019 NL REF"/>
    <s v="NON GLARE"/>
    <s v="SSD 128 GB;  HDD 1 TB"/>
    <s v="6144 MB"/>
    <s v="Intel Core i5-6200U Prozessor"/>
    <s v="2,3 Ghz"/>
    <s v="MS Windows® 10"/>
    <n v="20063388"/>
    <s v="Pendrive (pisać pełny numer modelu) UWAGA 99019"/>
    <s v="wgrywać przez USB 2.0 - KB - NL "/>
    <x v="0"/>
    <s v="Bios 1.07 (C2015) w razie problemów z kb dograć EC"/>
  </r>
  <r>
    <n v="30020246"/>
    <x v="52"/>
    <n v="30020246"/>
    <n v="30023714"/>
    <s v="NB PEAQ PNB C1015 - I3B1 MD99809 BE"/>
    <s v="Matowy"/>
    <s v="1 TB SSHD"/>
    <s v="6 GB"/>
    <s v="i3-5005U"/>
    <s v="2 Ghz"/>
    <s v="Win 10"/>
    <n v="20061408"/>
    <s v="Pendrive"/>
    <s v="KB - BE, HINGE"/>
    <x v="0"/>
    <s v="1.80 (C1015) "/>
  </r>
  <r>
    <n v="30020247"/>
    <x v="53"/>
    <n v="30020247"/>
    <n v="30023740"/>
    <s v="NB PEAQ PNB S1414 - I1B1 W MD99816 BE"/>
    <s v="Matowy"/>
    <s v="32 GB eMMC"/>
    <s v="2 GB"/>
    <s v="Celeron N3150"/>
    <s v="1,6-2,08 Ghz"/>
    <s v="Win 10"/>
    <n v="20061924"/>
    <s v="Pendrive"/>
    <s v="Kb - BE"/>
    <x v="0"/>
    <s v="Bios N 1.55 EC 1.17.80 (S1414)"/>
  </r>
  <r>
    <n v="30021144"/>
    <x v="54"/>
    <n v="30021144"/>
    <n v="30023743"/>
    <s v="NB PEAQ E6415 PNB C2115-I3B1 MD60152 BE"/>
    <s v="Matowy"/>
    <s v="128 GB SSD 1,5 TB HDD"/>
    <s v="6 GB"/>
    <s v="i3-5005U"/>
    <s v="2 Ghz"/>
    <s v="Win 10"/>
    <n v="20062666"/>
    <s v="Pendrive"/>
    <s v="KB - BE, Sponge/Poron, Shipping Mode"/>
    <x v="1"/>
    <s v="Bios 703 (D15D)"/>
  </r>
  <r>
    <n v="30020660"/>
    <x v="55"/>
    <n v="30020660"/>
    <n v="30023742"/>
    <s v="NB PEAQ E6425 PNB C2015-I2N1 MD60018 NL"/>
    <s v="Matowy"/>
    <s v="128 GB SSD 1,5 TB HDD"/>
    <s v="6 GB DDR4"/>
    <s v="Pentium 4405U"/>
    <s v="2,1 Ghz"/>
    <s v="Win 10"/>
    <n v="20062282"/>
    <s v="Pendrive"/>
    <s v="KB - NL"/>
    <x v="0"/>
    <s v="Bios 1.07 (C2015) w razie problemów z kb dograć EC"/>
  </r>
  <r>
    <n v="30019277"/>
    <x v="56"/>
    <n v="30019277"/>
    <n v="30023741"/>
    <s v="NB PEAQ PNB C1011 - I0B1 MD99441 BE"/>
    <s v="Matowy"/>
    <s v="64 GB eMMC"/>
    <s v="2 GB"/>
    <s v="Atom Z3735F"/>
    <s v="1,33-1,83 Ghz"/>
    <s v="Win 10"/>
    <n v="20062778"/>
    <s v="Pendrive"/>
    <s v="Kb - BE"/>
    <x v="0"/>
    <s v="BIOS 1.00.12 (c1011)"/>
  </r>
  <r>
    <n v="30022160"/>
    <x v="57"/>
    <n v="30022160"/>
    <n v="30023744"/>
    <s v="NB E6425 PEAQ PNB C2015-I5N2 MD60420 NL"/>
    <s v="Matowy"/>
    <s v="512 SSD"/>
    <s v="8 GB"/>
    <s v="i5-6200U"/>
    <s v="2,3-2,8 Ghz"/>
    <s v="Win 10"/>
    <n v="20063388"/>
    <s v="Pendrive"/>
    <s v="KB - NL"/>
    <x v="0"/>
    <s v="Bios 1.07 (C2015) w razie problemów z kb dograć EC"/>
  </r>
  <r>
    <n v="30021111"/>
    <x v="58"/>
    <n v="30021111"/>
    <n v="30023924"/>
    <s v="NB PEAQ P6663 PNB P2015-I7B1 MD60154 BE"/>
    <s v="Matowy"/>
    <s v="128 GB SSD 1,5 TB HDD"/>
    <s v="16 GB"/>
    <s v="i7-6500U"/>
    <s v="2,5 - 3,1 Ghz"/>
    <s v="Win 10"/>
    <n v="20062248"/>
    <s v="Pendrive"/>
    <s v="Kb - BE"/>
    <x v="0"/>
    <s v="Bios  1.07 (P2015) w razie problemów z kb dograć EC"/>
  </r>
  <r>
    <n v="30020270"/>
    <x v="59"/>
    <n v="30020270"/>
    <n v="30023922"/>
    <s v="NB PEAQ PNB C1011 - I0B2 MD99819 BE"/>
    <s v="Matowy"/>
    <s v="64 GB eMMC"/>
    <s v="2 GB"/>
    <s v="Atom Z3735F"/>
    <s v="1,33-1,83 Ghz"/>
    <s v="Win 10"/>
    <n v="20062778"/>
    <s v="Pendrive"/>
    <s v="Kb - BE"/>
    <x v="0"/>
    <s v="BIOS 1.00.12 (c1011)"/>
  </r>
  <r>
    <n v="30021129"/>
    <x v="60"/>
    <n v="30021129"/>
    <n v="30023903"/>
    <s v="NB PEAQ S2217 PNB C1011- MD60149 BE"/>
    <s v="Matowy"/>
    <s v="64 GB eMMC"/>
    <s v="2 GB"/>
    <s v="Atom Z3735F"/>
    <s v="1,33-1,83 Ghz"/>
    <s v="Win 10"/>
    <n v="20062778"/>
    <s v="Pendrive"/>
    <s v="Kb - BE"/>
    <x v="0"/>
    <s v="BIOS 1.00.12 (c1011)"/>
  </r>
  <r>
    <n v="30020471"/>
    <x v="61"/>
    <n v="30020471"/>
    <n v="30023446"/>
    <s v="NB PEAQ S4219 S1414-I0N1 S MD99912 NL"/>
    <s v="Matowy"/>
    <s v="64 GB eMMC"/>
    <s v="2 GB"/>
    <s v="celeron N3050"/>
    <s v="1,6 - 2,16 Ghz"/>
    <s v="Win 10"/>
    <n v="20061924"/>
    <s v="Pendrive"/>
    <s v="KB - NL Reimage"/>
    <x v="0"/>
    <s v="Bios N 1.55 EC 1.17.80 (S1414)"/>
  </r>
  <r>
    <n v="30020244"/>
    <x v="62"/>
    <n v="30020244"/>
    <n v="30023713"/>
    <s v="NB PEAQ PNB P1115-I7B2 ALURS MD99808 BE   "/>
    <s v="Matowy"/>
    <s v="128 GB SSD 1 TB HDD"/>
    <s v="16 GB"/>
    <s v="i7-5500U"/>
    <s v="2,4 Ghz"/>
    <s v="Win 10"/>
    <n v="20061707"/>
    <s v="Pendrive"/>
    <s v="KB - BE,  Wymiana zawiasów."/>
    <x v="0"/>
    <s v="Bios 1.80 (P1115)"/>
  </r>
  <r>
    <n v="30021129"/>
    <x v="60"/>
    <n v="30021129"/>
    <n v="30023903"/>
    <s v="NB PEAQ S2217 PNB C1011- MD60149 BE"/>
    <s v="Matowy"/>
    <s v="64 GB eMMC"/>
    <s v="2 GB"/>
    <s v="Atom Z3735F"/>
    <s v="1,33-1,83 Ghz"/>
    <s v="Win 10"/>
    <n v="20062778"/>
    <s v="Pendrive"/>
    <s v="Kb - BE"/>
    <x v="0"/>
    <s v="BIOS 1.00.12 (c1011)"/>
  </r>
  <r>
    <n v="30020622"/>
    <x v="63"/>
    <n v="30020622"/>
    <n v="30023447"/>
    <s v="NB PEAQ S6419T PNB T2015-I3N1 MD99987 NL"/>
    <s v="TOUCH/GLARE"/>
    <s v="256 GB SSD"/>
    <s v="4 GB"/>
    <s v="i3-6100U"/>
    <s v="2,3 Ghz"/>
    <s v="Win 10"/>
    <n v="20062323"/>
    <s v="Pendrive image"/>
    <s v="KB NL"/>
    <x v="0"/>
    <s v="VACN11WW (T2015), Płaska ładowarka jak do Lenovo."/>
  </r>
  <r>
    <n v="30021325"/>
    <x v="64"/>
    <n v="30021325"/>
    <n v="30023202"/>
    <s v="CNB PEAQ E2215T PNB T2011 MD60223 NL REF"/>
    <s v="TOUCH /GLARE"/>
    <s v="64 GB eMMC"/>
    <s v="2048 MB"/>
    <s v="Intel® Atom® Processor x5 -Z8350"/>
    <s v="1,44 - 1,92 Ghz"/>
    <s v="MS Windows® 10"/>
    <n v="20062664"/>
    <s v="Pendrive"/>
    <s v="KB - NL /  zamiast recovery reimage"/>
    <x v="0"/>
    <s v="Bios V.5.0.11"/>
  </r>
  <r>
    <n v="30020663"/>
    <x v="65"/>
    <n v="30020663"/>
    <n v="30023203"/>
    <s v="NB PEAQ P6663 PNB P2015-I7N1 MD60022 NL REF"/>
    <s v="NON GLARE"/>
    <s v="SSD 256 GB;  HDD 1,5 TB"/>
    <s v="12288 MB"/>
    <s v="Intel Core i7-6500U Prozessor"/>
    <s v="2,5 Ghz"/>
    <s v="MS Windows® 10"/>
    <n v="20062248"/>
    <s v="Pendrive"/>
    <s v="KB - NL"/>
    <x v="0"/>
    <s v="Bios 1.07 (C2015) w razie problemów z kb dograć EC"/>
  </r>
  <r>
    <n v="30020470"/>
    <x v="66"/>
    <n v="30020470"/>
    <n v="30023326"/>
    <s v="CNB PEAQ P2213T PMMP1011–I12N1 MD99911NL REF"/>
    <s v="Touch / NON GLARE"/>
    <s v="eMMC 64GB"/>
    <s v="2048 MB"/>
    <s v="Intel® Celeron® Processor N2940"/>
    <s v="1,83 -2,25 GHz"/>
    <s v="MS Windows® 10"/>
    <n v="20062093"/>
    <s v="Pendrive"/>
    <s v="KB - NL /  zamiast recovery reimage"/>
    <x v="1"/>
    <s v="BIOS: 707; firmware: HDD&amp;DOCK(204); W urządzeniu powinien być ustawiony shipping mode Akku.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91">
  <r>
    <x v="0"/>
    <x v="0"/>
    <n v="30020624"/>
    <n v="30023094"/>
    <s v="CNB PEAQ P1211T PMMC1010-I01B3 MD60011BE ref"/>
    <s v="Touch / NON GLARE"/>
    <s v=" 64 GB eMMC"/>
    <s v="2048 MB"/>
    <s v="Intel® Atom® Processor Z3735F"/>
    <s v="1,33 GHz"/>
    <s v="MS Windows 10 Home"/>
    <x v="0"/>
    <s v="Pendrive"/>
    <s v="KB - BE /  zamiast recovery reimage"/>
    <m/>
    <s v="BIOS 1.03 EC 10301"/>
  </r>
  <r>
    <x v="1"/>
    <x v="1"/>
    <n v="30019134"/>
    <n v="30020998"/>
    <s v="NB PEAQ PNB C1014 I1NL MD99338 Ref"/>
    <s v="NON GLARE"/>
    <s v="SSD 32 GB"/>
    <s v="2048 MB"/>
    <s v="Intel® Celeron® Processor N2940"/>
    <s v="1.83 GHz"/>
    <s v="MS Windows® 10"/>
    <x v="1"/>
    <s v="Pendrive - WYBIERAMY 2 OPCJĘ "/>
    <s v="Klawiatura NL, Zamiast Recovery - image z pendrive"/>
    <m/>
    <s v="MB TF NDBT1401: BIOS: 1.03; EC: 1.04.80"/>
  </r>
  <r>
    <x v="2"/>
    <x v="2"/>
    <n v="30018321"/>
    <n v="30021005"/>
    <s v="WTAB PEAQ E1233T WIN MD99098NL Ref"/>
    <s v="TOUCH/GLARE"/>
    <s v="emmc 16GB"/>
    <s v="2048 MB"/>
    <s v="Intel® Atom® Processor Z3735F"/>
    <s v="1,33 GHz"/>
    <s v="MS Windows® 8.1 with Bing"/>
    <x v="2"/>
    <s v="Pendrive USB"/>
    <s v="KB NL"/>
    <m/>
    <s v="B5CN81WW(V8.1&amp;V1.4) PEAQ"/>
  </r>
  <r>
    <x v="3"/>
    <x v="3"/>
    <n v="30018690"/>
    <n v="30021006"/>
    <s v="CNB PEAQ P2213T MD99188 NL Ref"/>
    <s v="Touch / NON GLARE"/>
    <s v="HDD 500 GB; eMMC 32GB"/>
    <s v="4096 MB"/>
    <s v="Intel® Pentium® Processor N3540"/>
    <s v="2,16 GHz"/>
    <s v="MS Windows® 8.1 "/>
    <x v="3"/>
    <s v="USB HDD"/>
    <s v="KB - NL, po testach recovery z pod system, pratycję D:// dogrywamy przez HDClone z dysku z image."/>
    <s v="Tak"/>
    <s v="BIOS: 707; firmware: HDD&amp;DOCK(204); W urządzeniu powinien być ustawiony shipping mode Akku."/>
  </r>
  <r>
    <x v="4"/>
    <x v="4"/>
    <n v="30018694"/>
    <n v="30021007"/>
    <s v="NB PEAQPNB1115 I5NL ALURSMD99197NL Ref"/>
    <s v="NON GLARE"/>
    <s v="SSHD 500 GB"/>
    <s v="4096 MB"/>
    <s v="Intel Core i5-5200U Prozessor"/>
    <s v="2,2, GHz"/>
    <s v="MS Windows® 8.1 "/>
    <x v="4"/>
    <s v="HDD"/>
    <s v="KB - NL"/>
    <m/>
    <s v="MB IVT Pol: Win8 BIOS: 130,  !!!  Win10 BIOS: 180."/>
  </r>
  <r>
    <x v="5"/>
    <x v="5"/>
    <n v="30018668"/>
    <n v="30020996"/>
    <s v="WTAB PEAQ PMM C1008 I01NL MD99186 Ref"/>
    <s v="TOUCH/GLARE"/>
    <s v="SSD 32 GB"/>
    <s v="2048 MB"/>
    <s v="Intel® Atom® Processor Z3735F"/>
    <s v="1,33 GHz"/>
    <s v="MS Windows® 8.1 with Bing"/>
    <x v="5"/>
    <s v="Pendrive USB"/>
    <s v="KB - NL, po testach recovery z pod system"/>
    <m/>
    <s v="BIOS: 103;  EC 10301"/>
  </r>
  <r>
    <x v="6"/>
    <x v="6"/>
    <n v="30018319"/>
    <n v="30020995"/>
    <s v="NB PEAQ P2213T 2IN1 MD99097 NL Ref"/>
    <s v="Touch / NON GLARE"/>
    <s v="HDD 500 GB; eMMC 64GB"/>
    <s v="4096 MB"/>
    <s v="Intel® Pentium® Processor N3540"/>
    <s v="2,16 GHz"/>
    <s v="MS Windows® 8.1 "/>
    <x v="6"/>
    <s v="Pendrive z Tableta przez przejscowke USBmicro 3.0 "/>
    <s v="Wykasować dispartem dyski, po skasowaniu dysków podpiąć PEN z image i zamknąć okienko konsoli. Uruchomi się i nagra sam./ KB - NL,   "/>
    <s v="Tak"/>
    <s v="BIOS: 707; firmware: HDD&amp;DOCK(204); W urządzeniu powinien być ustawiony shipping mode Akku."/>
  </r>
  <r>
    <x v="7"/>
    <x v="7"/>
    <n v="30018669"/>
    <n v="30020997"/>
    <s v="WTAB PEAQ PMM C1008 I01NL MD99187 Ref"/>
    <s v="TOUCH/GLARE"/>
    <s v="SSD 32 GB"/>
    <s v="2048 MB"/>
    <s v="Intel® Atom® Processor Z3735F"/>
    <s v="1,33 GHz"/>
    <s v="MS Windows® 8.1 with Bing"/>
    <x v="5"/>
    <s v="Pendrive"/>
    <s v="KB - NL, po testach recovery z pod system"/>
    <m/>
    <s v="BIOS 1.03 EC 10301"/>
  </r>
  <r>
    <x v="8"/>
    <x v="8"/>
    <n v="30018316"/>
    <n v="30020994"/>
    <s v="NB PEAQ P2213T 2IN1 MD99096 NL Ref"/>
    <s v="Touch / NON GLARE"/>
    <s v="eMMC 64GB"/>
    <s v="2048 MB"/>
    <s v="Intel® Celeron® N2840"/>
    <s v="2,16 GHz"/>
    <s v="MS Windows® 8.1 "/>
    <x v="7"/>
    <s v="Pendrive z Tab 3.0 "/>
    <s v="KB - NL / zamiast recovery reimage"/>
    <s v="Tak"/>
    <s v="BIOS: 707; firmware: HDD&amp;DOCK(204); W urządzeniu powinien być ustawiony shipping mode Akku."/>
  </r>
  <r>
    <x v="9"/>
    <x v="9"/>
    <n v="30019938"/>
    <n v="30021031"/>
    <s v="NB PEAQ MD99688 NL Ref"/>
    <s v="NON GLARE"/>
    <s v="HDD 1 TB"/>
    <s v="6144 MB"/>
    <s v="Intel® Pentium®CPU 3825U"/>
    <s v="1,9 GHz"/>
    <s v="MS Windows® 10"/>
    <x v="8"/>
    <s v="Pendrive USB"/>
    <s v="KB-NL / sprawdzić czy jest HDD BAY !"/>
    <m/>
    <s v="MB IVT Pol: Win8 BIOS: 130,  !!!  Win10 BIOS: 180. "/>
  </r>
  <r>
    <x v="10"/>
    <x v="10"/>
    <n v="30018317"/>
    <n v="30021035"/>
    <s v="NB S6217 GOLF PEAG MD99091 NL Ref"/>
    <s v="GLARE"/>
    <s v="HDD 500 GB"/>
    <s v="4096 MB"/>
    <s v="Intel® Celeron® Processor N2940"/>
    <s v="1,83 GHz"/>
    <s v="MS Windows® 8.1 "/>
    <x v="9"/>
    <s v="HDD"/>
    <s v="KB - NL"/>
    <m/>
    <s v="MB IVT Golf: BIOS for WINDOWS 8 : 404R, for WINDOWS 10:  412R"/>
  </r>
  <r>
    <x v="11"/>
    <x v="11"/>
    <n v="30018322"/>
    <n v="30021030"/>
    <s v="NB E6419 PEAQ MD99094 NL Ref"/>
    <s v="NON GLARE"/>
    <s v="SSHD 1 TB"/>
    <s v="6144 MB"/>
    <s v="Intel® Pentium®CPU 3805U"/>
    <s v="1,9 GHz"/>
    <s v="MS Windows® 8.1 "/>
    <x v="10"/>
    <s v="HDD"/>
    <s v="KB - NL "/>
    <m/>
    <s v="MB IVT Pol: Win8 BIOS: 130,  !!!  Win10 BIOS: 180."/>
  </r>
  <r>
    <x v="12"/>
    <x v="12"/>
    <n v="30018692"/>
    <n v="30021032"/>
    <s v="NB PEAQ PNB S1015 I2NL MD99193 NL Ref"/>
    <s v="NON GLARE"/>
    <s v="SSHD 500 GB"/>
    <s v="4096 MB"/>
    <s v="Intel® Pentium®CPU 3540U"/>
    <s v="2.16 GHz"/>
    <s v="MS Windows® 8.1 "/>
    <x v="11"/>
    <s v="HDD"/>
    <s v="KB - NL "/>
    <m/>
    <s v="MB IVT Golf 2.0: BIOS for WINDOWS 8: 404R, for WINDOWS 10: 412R "/>
  </r>
  <r>
    <x v="13"/>
    <x v="13"/>
    <n v="30019276"/>
    <n v="30021034"/>
    <s v="NB PEAQ PNB C1011 I0N1 MD99439 NL Ref"/>
    <s v="NON GLARE"/>
    <s v="Flash 64 GB"/>
    <s v="2048 MB"/>
    <s v="Intel® Atom® Processor Z3735F"/>
    <s v="1,33 GHz"/>
    <s v="MS Windows 10 Home"/>
    <x v="12"/>
    <s v="Pendrive"/>
    <s v="KB - NL / zamiast recovery reimage"/>
    <m/>
    <s v="MB ECS EF20: BIOS W10: 1.00.12.MN, W8.1: 1.00.01.MN for Basis: S221x"/>
  </r>
  <r>
    <x v="14"/>
    <x v="14"/>
    <n v="30018693"/>
    <n v="30021038"/>
    <s v="CNB PEAQPNBS1115IMNL ALU MD99194NL Ref"/>
    <s v="NON GLARE"/>
    <s v="SSD 128 GB"/>
    <s v="4096 MB"/>
    <s v="Intel® Core TM m-5Y10c"/>
    <s v="0,80 - 2.0 GHz"/>
    <s v="MS Windows® 8.1 "/>
    <x v="13"/>
    <s v="SSD 128 GB"/>
    <s v="KB - NL "/>
    <m/>
    <s v="MB IVT Golf 2.0: BIOS for WINDOWS 8: 405R, for WINDOWS 10: 412R "/>
  </r>
  <r>
    <x v="15"/>
    <x v="15"/>
    <n v="30018318"/>
    <n v="30021033"/>
    <s v="NB S6417 GOLF PEAQ MD99092 NL Ref"/>
    <s v="NON GLARE"/>
    <s v="SSHD 500 GB"/>
    <s v="4096 MB"/>
    <s v="Intel® Core TM m-5Y10c"/>
    <s v="0,80 - 2.0 GHz"/>
    <s v="MS Windows® 8.1 "/>
    <x v="14"/>
    <s v="HDD"/>
    <s v="KB - NL "/>
    <m/>
    <s v="MB IVT Golf 2.0: BIOS for WINDOWS 8: 405R, for WINDOWS 10: 412R "/>
  </r>
  <r>
    <x v="16"/>
    <x v="16"/>
    <n v="30019151"/>
    <n v="30021036"/>
    <s v="NB PEAQ PNB C1015 I2N2 MD99342NL Ref"/>
    <s v="NON GLARE"/>
    <s v="SSD 128 GB 500 GB"/>
    <s v="8192 MB"/>
    <s v="Intel® Pentium®CPU 3805U"/>
    <s v="1,9 GHz"/>
    <s v="MS Windows® 10"/>
    <x v="15"/>
    <s v="Pendrive"/>
    <s v="KB - NL"/>
    <m/>
    <s v="MB IVT Pol: Win8 BIOS: 130,  !!!  Win10 BIOS: 180."/>
  </r>
  <r>
    <x v="17"/>
    <x v="17"/>
    <n v="30018320"/>
    <n v="30021043"/>
    <s v="NB P6515 Peaq MD99093 NL REF"/>
    <s v="NON GLARE"/>
    <s v="SSHD 500 GB"/>
    <s v="6144 MB"/>
    <s v="Intel Core i5-5200U Prozessor"/>
    <s v="2,2, GHz"/>
    <s v="MS Windows® 8.1 "/>
    <x v="16"/>
    <s v="HDD"/>
    <s v="KB - NL"/>
    <m/>
    <s v="MB IVT Pol: Win8 BIOS: 130,  !!!  Win10 BIOS: 180."/>
  </r>
  <r>
    <x v="18"/>
    <x v="18"/>
    <n v="30018691"/>
    <n v="30021041"/>
    <s v="NB PEAQ PNB P1115 - I2NL ALU MD99191 NL REF"/>
    <s v="NON GLARE"/>
    <s v="SSHD 500 GB"/>
    <s v="8192 MB"/>
    <s v="Intel® Pentium®CPU 3805U"/>
    <s v="1,9 GHz"/>
    <s v="MS Windows® 8.1 "/>
    <x v="16"/>
    <s v="HDD"/>
    <s v="KB -NL"/>
    <m/>
    <s v="MB IVT Pol: Win8 BIOS: 130,  !!!  Win10 BIOS: 180. "/>
  </r>
  <r>
    <x v="19"/>
    <x v="19"/>
    <n v="30019033"/>
    <n v="30021096"/>
    <s v="NB PEAQ P1115-I5CH ALU MD99291 REF"/>
    <s v="NON GLARE"/>
    <s v="SSHD 1 TB"/>
    <s v="8192 MB"/>
    <s v="Intel Core i5-5200U Prozessor"/>
    <s v="2,2, GHz"/>
    <s v="MS Windows® 8.1 "/>
    <x v="17"/>
    <s v="HDD"/>
    <s v="KB -CH"/>
    <m/>
    <s v="MB IVT Pol: Win8 BIOS: 130,  !!!  Win10 BIOS: 180."/>
  </r>
  <r>
    <x v="20"/>
    <x v="20"/>
    <n v="30019032"/>
    <n v="30022964"/>
    <s v="NB PEAQ S1115-IMCH ALU MD99298 REF"/>
    <s v="NON GLARE"/>
    <s v="HDD 1 TB"/>
    <s v="4096 MB"/>
    <s v="Intel® Core TM m-5Y10c"/>
    <s v="0,80 - 2.0 GHz"/>
    <s v="MS Windows® 8.1 "/>
    <x v="18"/>
    <s v="HDD"/>
    <s v="KB - CH"/>
    <m/>
    <s v="MB IVT Golf 2.0: BIOS for WINDOWS 8: 405R, for WINDOWS 10: 412R"/>
  </r>
  <r>
    <x v="21"/>
    <x v="21"/>
    <n v="30019034"/>
    <n v="30021097"/>
    <s v="NB PEAQ C1017-I2CH MD99306 REF"/>
    <s v="NON GLARE"/>
    <s v="HDD 1 TB"/>
    <s v="4096 MB"/>
    <s v="Intel® Pentium®CPU 3805U"/>
    <s v="1,9 GHz"/>
    <s v="MS Windows® 8.1 "/>
    <x v="19"/>
    <s v="HDD"/>
    <s v="KB - CH"/>
    <s v="Tak"/>
    <s v="MB PG D17D: BIOS: 703"/>
  </r>
  <r>
    <x v="22"/>
    <x v="22"/>
    <n v="30019035"/>
    <n v="30021081"/>
    <s v="NB PEAQ P1017 I5CH MD99307 REF (not w/o)"/>
    <s v="NON GLARE"/>
    <s v="SSHD 1 TB"/>
    <s v="8192 MB"/>
    <s v="Intel Core i5-5200U Prozessor"/>
    <s v="2,2, GHz"/>
    <s v="MS Windows® 8.1 "/>
    <x v="20"/>
    <s v="HDD"/>
    <s v="KB - CH"/>
    <s v="Tak"/>
    <s v="MB PG D17D: BIOS: 703 "/>
  </r>
  <r>
    <x v="23"/>
    <x v="23"/>
    <n v="30019036"/>
    <n v="30021090"/>
    <s v="NB PEAQ P1117-I7CH MD99309 REF"/>
    <s v="NON GLARE?"/>
    <s v="SSHD 1 TB"/>
    <s v="8192 MB"/>
    <s v="Intel Core i7-5500U Prozessor"/>
    <s v="2,4 Ghz"/>
    <s v="MS Windows® 10"/>
    <x v="20"/>
    <s v="HDD"/>
    <s v="KB -CH"/>
    <s v="Tak"/>
    <s v="MB PG D17D: BIOS: 703"/>
  </r>
  <r>
    <x v="24"/>
    <x v="24"/>
    <n v="30019136"/>
    <n v="30022965"/>
    <s v="CNB PEAQ PMM C1008 - I01NL MD99336 REF"/>
    <s v="TOUCH/GLARE"/>
    <s v="64 GB eMMC"/>
    <s v="2048 MB"/>
    <s v="Intel® Atom® Processor Z3735F"/>
    <s v="1,33 GHz"/>
    <s v="MS Windows® 10"/>
    <x v="21"/>
    <s v="Pendrive"/>
    <s v="KB - NL /  zamiast recovery reimage"/>
    <m/>
    <s v="BIOS: 103;  EC 10301"/>
  </r>
  <r>
    <x v="25"/>
    <x v="25"/>
    <n v="30019135"/>
    <n v="30022966"/>
    <s v="CNB PEAQ PMM C1010 - I01NL MD99337 REF"/>
    <s v="TOUCH/GLARE"/>
    <s v="64 GB eMMC"/>
    <s v="2048 MB"/>
    <s v="Intel® Atom® Processor Z3735F"/>
    <s v="1,33 GHz"/>
    <s v="MS Windows 10 "/>
    <x v="21"/>
    <s v="Pendrive"/>
    <s v="KB - NL /  zamiast recovery reimage"/>
    <m/>
    <s v="BIOS 1.03 EC 10301"/>
  </r>
  <r>
    <x v="26"/>
    <x v="25"/>
    <n v="30020223"/>
    <n v="30022966"/>
    <s v="CNB PEAQ PMM C1010 - I01NL MD99337 REF"/>
    <s v="TOUCH/GLARE"/>
    <s v="64 GB eMMC"/>
    <s v="2048 MB"/>
    <s v="Intel® Atom® Processor Z3735F"/>
    <s v="1,33 GHz"/>
    <s v="MS Windows 10 "/>
    <x v="21"/>
    <s v="Pendrive"/>
    <s v="KB - NL /  zamiast recovery reimage"/>
    <m/>
    <s v="BIOS 1.03 EC 10301"/>
  </r>
  <r>
    <x v="27"/>
    <x v="26"/>
    <n v="30019139"/>
    <n v="30022967"/>
    <s v="NB PEAQ PNB S1015 - I2NL MD99339 REF"/>
    <s v="NON GLARE"/>
    <s v="500 GB"/>
    <s v="4096 MB"/>
    <s v="Intel® Pentium® Processor N3540"/>
    <s v="2,16 GHz"/>
    <s v="MS Windows® 10"/>
    <x v="22"/>
    <s v="Pendrive"/>
    <s v="KB -NL"/>
    <m/>
    <s v="MB IVT Golf 2.0: BIOS for WINDOWS 8: 405R, for WINDOWS 10: 412R "/>
  </r>
  <r>
    <x v="28"/>
    <x v="26"/>
    <n v="30020147"/>
    <n v="30022967"/>
    <s v="NB PEAQ PNB S1015 - I2NL MD99339 REF"/>
    <s v="NON GLARE"/>
    <s v="500 GB"/>
    <s v="4096 MB"/>
    <s v="Intel® Pentium® Processor N3540"/>
    <s v="2,16 GHz"/>
    <s v="MS Windows® 10"/>
    <x v="22"/>
    <s v="Pendrive"/>
    <s v="KB -NL"/>
    <m/>
    <s v="MB IVT Golf 2.0: BIOS for WINDOWS 8: 405R, for WINDOWS 10: 412R "/>
  </r>
  <r>
    <x v="29"/>
    <x v="27"/>
    <n v="30019150"/>
    <n v="30021085"/>
    <s v="NB PEAQ PNB S1115-IM2N ALU MD99341 REF"/>
    <s v="NON GLARE ?"/>
    <s v="SSD 128 GB"/>
    <s v="4096 MB"/>
    <s v="Intel® Core TM m-5Y31"/>
    <s v="0,90 - 2.4 GHz"/>
    <s v="MS Windows® 10"/>
    <x v="23"/>
    <s v="Pendrive"/>
    <s v="KB -NL"/>
    <m/>
    <s v="MB IVT Golf 2.0: BIOS for WINDOWS 8: 405R, for WINDOWS 10: 412R "/>
  </r>
  <r>
    <x v="30"/>
    <x v="28"/>
    <n v="30019138"/>
    <n v="30021078"/>
    <s v="NB PEAQ PNB P1115 - I5NL ALURS MD99343 REF"/>
    <s v="NON GLARE"/>
    <s v="SSHD 1 TB"/>
    <s v="8192 MB"/>
    <s v="Intel Core i5-5200U Prozessor"/>
    <s v="2,2 Ghz"/>
    <s v="MS Windows® 10"/>
    <x v="24"/>
    <s v="Pendrive"/>
    <s v="KB -NL"/>
    <m/>
    <s v="MB IVT Pol: Win8 BIOS: 130,  !!!  Win10 BIOS: 180."/>
  </r>
  <r>
    <x v="31"/>
    <x v="29"/>
    <n v="30019137"/>
    <n v="30021084"/>
    <s v="NB PEAQ PNB P1115-I7N2 ALURS MD99344 NL REF"/>
    <s v="NON GLARE"/>
    <s v="SSHD 1 TB"/>
    <s v="8192 MB"/>
    <s v="Intel Core i7-5500U Prozessor"/>
    <s v="2,4 Ghz"/>
    <s v="MS Windows® 10"/>
    <x v="24"/>
    <s v="Pendrive"/>
    <s v="KB -NL"/>
    <m/>
    <s v="MB IVT Pol: Win8 BIOS: 130,  !!!  Win10 BIOS: 180."/>
  </r>
  <r>
    <x v="32"/>
    <x v="30"/>
    <n v="30019300"/>
    <n v="30021048"/>
    <s v="CNB PEAQ PMM C1008 - I01B1 MD99442 BE REF"/>
    <s v="TOUCH/GLARE"/>
    <s v="32 GB eMMC"/>
    <s v="2048 MB"/>
    <s v="Intel® Atom® Processor Z3735F"/>
    <s v="1,33 GHz"/>
    <s v="MS Windows® 10"/>
    <x v="21"/>
    <s v="Pendrive"/>
    <s v="KB - BE /  zamiast recovery reimage"/>
    <m/>
    <s v="BIOS: 103;  EC 10301"/>
  </r>
  <r>
    <x v="33"/>
    <x v="31"/>
    <n v="30019279"/>
    <n v="30021100"/>
    <s v="CNB PEAQ PMM C1010 - I01B1 MD99446 BE REF"/>
    <s v="TOUCH/GLARE"/>
    <s v="64 GB eMMC"/>
    <s v="2048 MB"/>
    <s v="Intel® Atom® Processor Z3735F"/>
    <s v="1,33 GHz"/>
    <s v="MS Windows® 10"/>
    <x v="21"/>
    <s v="Pendrive"/>
    <m/>
    <m/>
    <s v="BIOS 1.03 EC 10301"/>
  </r>
  <r>
    <x v="34"/>
    <x v="32"/>
    <n v="30019278"/>
    <n v="30021039"/>
    <s v="NB PEAQ PNB C1014 - I1B1 MD99447 BE REF"/>
    <s v="NON GLARE"/>
    <s v="32 GB eMMC"/>
    <s v="2048 MB"/>
    <s v="Intel® Celeron® Processor N2940"/>
    <s v="1.83 GHz"/>
    <s v="MS Windows® 10"/>
    <x v="1"/>
    <s v="Pendrive"/>
    <s v="Sprawdzić czy w kieszani nie ma dodatkowego HDD/ KB - BE /  zamiast recovery reimage /problem z kamera -&gt; wl/ wylacz klawiszem Fn"/>
    <m/>
    <s v="MB TF NDBT1401: BIOS: 1.03; EC: 1.04.80"/>
  </r>
  <r>
    <x v="35"/>
    <x v="33"/>
    <n v="30019301"/>
    <n v="30021072"/>
    <s v="NB PEAQ PNB P1115 - I5B1 ALU MD99448 BE REF"/>
    <s v="NON GLARE"/>
    <s v="SSHD 1 TB"/>
    <s v="8192 MB"/>
    <s v="Intel Core i5-5200U Prozessor"/>
    <s v="2,2 Ghz"/>
    <s v="MS Windows® 10"/>
    <x v="25"/>
    <s v="Pendrive"/>
    <s v="KB -BE"/>
    <m/>
    <s v="MB IVT Pol: Win8 BIOS: 130,  !!!  Win10 BIOS: 180."/>
  </r>
  <r>
    <x v="36"/>
    <x v="34"/>
    <n v="30019324"/>
    <n v="30021087"/>
    <s v="NB PEAQ PNB P1117 - I7B1 MD99464 BE REF"/>
    <s v="NON GLARE"/>
    <s v="SSD 128 GB;  HDD 1 TB"/>
    <s v="12288 MB"/>
    <s v="Intel Core i7-5500U Prozessor"/>
    <s v="2,4 Ghz"/>
    <s v="MS Windows® 10"/>
    <x v="26"/>
    <s v="Pendrive"/>
    <m/>
    <s v="Tak"/>
    <s v="MB PG D17D: BIOS: 703 "/>
  </r>
  <r>
    <x v="37"/>
    <x v="35"/>
    <n v="30019323"/>
    <n v="30021059"/>
    <s v="NB PEAQ PNB P1017 - I5B1 MD99467 BE REF"/>
    <s v="NON GLARE"/>
    <s v="SSHD 1 TB"/>
    <s v="8192 MB"/>
    <s v="Intel Core i5-5200U Prozessor"/>
    <s v="2,2 Ghz"/>
    <s v="MS Windows® 10"/>
    <x v="26"/>
    <s v="Pendrive"/>
    <m/>
    <s v="Tak"/>
    <s v="MB PG D17D: BIOS: 703"/>
  </r>
  <r>
    <x v="38"/>
    <x v="36"/>
    <n v="30019317"/>
    <n v="30021058"/>
    <s v="NB PEAQ PNB P1115-I7B1 ALURS MD99468 BE REF"/>
    <s v="NON GLARE"/>
    <s v="SSD 128 GB;  HDD BAY 1 TB"/>
    <s v="12288 MB"/>
    <s v="Intel Core i7-5500U Prozessor"/>
    <s v="2,4 Ghz"/>
    <s v="MS Windows® 10"/>
    <x v="25"/>
    <s v="Pendrive"/>
    <s v="KB -  BE"/>
    <m/>
    <s v="MB IVT Pol: Win8 BIOS: 130,  !!!  Win10 BIOS: 180."/>
  </r>
  <r>
    <x v="39"/>
    <x v="37"/>
    <n v="30019316"/>
    <n v="30021057"/>
    <s v="NB PEAQ PNB C1015 - I5B1 MD99469 BE REF"/>
    <s v="NON GLARE"/>
    <s v="SSHD 500 GB"/>
    <s v="6144 MB"/>
    <s v="Intel Core i5-5200U Prozessor"/>
    <s v="2,2, GHz"/>
    <s v="MS Windows® 10"/>
    <x v="15"/>
    <s v="Pendrive"/>
    <s v="KB -  BE"/>
    <m/>
    <s v="MB IVT Pol: Win8 BIOS: 130,  !!!  Win10 BIOS: 180."/>
  </r>
  <r>
    <x v="40"/>
    <x v="38"/>
    <n v="30019463"/>
    <n v="30021101"/>
    <s v="NB PEAQ MD99523 PNB S1013-I5N1 ULTRA REF"/>
    <s v="NON GLARE"/>
    <s v="SSHD 256 GB"/>
    <s v="8192 MB"/>
    <s v="Intel Core i5-5200U Prozessor"/>
    <s v="2,2, GHz"/>
    <s v="MS Windows® 10"/>
    <x v="27"/>
    <s v="Pendrive"/>
    <s v="KB - NL"/>
    <m/>
    <s v="BIOS ver.: V0004"/>
  </r>
  <r>
    <x v="41"/>
    <x v="39"/>
    <n v="30019851"/>
    <n v="30022968"/>
    <s v="NB PEAQ S6217 Golf MD99639NLPNBS1015 REF"/>
    <s v="NON GLARE"/>
    <s v="SSHD 500 GB"/>
    <s v="4096 MB"/>
    <s v="Intel® Pentium® Processor N3540"/>
    <s v="2,16 GHz"/>
    <s v="MS Windows® 10"/>
    <x v="22"/>
    <s v="Pendrive"/>
    <s v="KB - NL"/>
    <m/>
    <s v="MB IVT Golf 2.0: BIOS for WINDOWS 8: 405R, for WINDOWS 10: 412R"/>
  </r>
  <r>
    <x v="42"/>
    <x v="40"/>
    <n v="30019882"/>
    <n v="30021103"/>
    <s v="NB PEAQ PNB P1115 MD99671 NL REF"/>
    <s v="NON GLARE"/>
    <s v="SSHD 500 GB"/>
    <s v="4096 MB"/>
    <s v="Intel® Core TM i3 5005U"/>
    <s v="2,0 Ghz"/>
    <s v="MS Windows® 10"/>
    <x v="8"/>
    <s v="Pendrive"/>
    <s v="KB - NL"/>
    <m/>
    <s v="MB IVT Pol: Win8 BIOS: 130,  !!!  Win10 BIOS: 180. "/>
  </r>
  <r>
    <x v="43"/>
    <x v="41"/>
    <n v="30019848"/>
    <n v="30022969"/>
    <s v="NB PEAQ P1115 ALU MD99672 CH REF"/>
    <s v="NON GLARE"/>
    <s v="SSD 256 GB+ 500GB HDD"/>
    <s v="8192 MB"/>
    <s v="Intel® Core TM i3 5020U"/>
    <s v="2,2 Ghz"/>
    <s v="MS Windows® 10"/>
    <x v="28"/>
    <s v="Pendrive"/>
    <s v="KB - CH"/>
    <m/>
    <s v="MB IVT Pol: Win8 BIOS: 130,  !!!  Win10 BIOS: 180. "/>
  </r>
  <r>
    <x v="44"/>
    <x v="42"/>
    <n v="30019849"/>
    <n v="30023000"/>
    <s v="NB PEAQ PNB P2017–I7C1 MD99673 CH REF"/>
    <s v="NON GLARE"/>
    <s v="SSHD 1 TB"/>
    <s v="12288 MB"/>
    <s v="Intel Core i7-6500U Prozessor"/>
    <s v="2,5 Ghz"/>
    <s v="MS Windows® 10"/>
    <x v="29"/>
    <s v="Pendrive"/>
    <s v="KB - CH"/>
    <s v="Tak"/>
    <s v="MB PG D17S: BIOS: 218"/>
  </r>
  <r>
    <x v="45"/>
    <x v="43"/>
    <n v="30019900"/>
    <n v="30023001"/>
    <s v="NB PEAQ PNB C1011 MD99674 CH REF"/>
    <s v="NON GLARE?"/>
    <s v="64 GB eMMC"/>
    <s v="2048 MB"/>
    <s v="Intel® Atom® Processor Z3735F"/>
    <s v="1,33 GHz"/>
    <s v="MS Windows® 10"/>
    <x v="30"/>
    <s v="Pendrive"/>
    <s v="KB -CH  /  zamiast recovery reimage"/>
    <m/>
    <s v="MB ECS EF20: BIOS W10: 1.00.12.MN, W8.1: 1.00.01.MN for Basis: S221x"/>
  </r>
  <r>
    <x v="46"/>
    <x v="44"/>
    <n v="30019959"/>
    <n v="30023002"/>
    <s v="NB PEAQ PNB C1015-I3C1 MD99684 CH REF"/>
    <s v="NON GLARE"/>
    <s v="HDD 1 TB"/>
    <s v="6144 MB"/>
    <s v="Intel® Core TM i3 5005U"/>
    <s v="2,0 Ghz"/>
    <s v="MS Windows® 10"/>
    <x v="8"/>
    <s v="Pendrive"/>
    <s v="KB - CH"/>
    <m/>
    <s v="MB IVT Pol: Win8 BIOS: 130,  !!!  Win10 BIOS: 180."/>
  </r>
  <r>
    <x v="47"/>
    <x v="45"/>
    <n v="30020216"/>
    <n v="30023003"/>
    <s v="NB E6419 C1015-I2N4 ALUMD99799PEAQNL REF"/>
    <s v="NON GLARE"/>
    <s v="HDD 1 TB"/>
    <s v="6144 MB"/>
    <s v="Intel® Pentium®CPU 3825U"/>
    <s v="1,9 GHz"/>
    <s v="MS Windows® 10"/>
    <x v="8"/>
    <s v="Pendrive"/>
    <s v="KB -NL / sprawdzić czy jest HDD BAY !"/>
    <m/>
    <s v="MB IVT Pol: Win8 BIOS: 130,  !!!  Win10 BIOS: 180."/>
  </r>
  <r>
    <x v="48"/>
    <x v="46"/>
    <n v="30018695"/>
    <n v="30021054"/>
    <s v="NB PEAQ PNB P1115 - I7NL ALU MD99198 NL ref"/>
    <s v="NON GLARE"/>
    <s v="SSHD 500 GB"/>
    <s v="6144 MB"/>
    <s v="Intel Core i7-5500U Prozessor"/>
    <s v="2,4 Ghz"/>
    <s v="MS Windows® 10"/>
    <x v="25"/>
    <s v="Pendrive"/>
    <s v="KB -  NL"/>
    <m/>
    <s v="MB IVT Pol: Win8 BIOS: 130,  !!!  Win10 BIOS: 180. "/>
  </r>
  <r>
    <x v="49"/>
    <x v="24"/>
    <n v="30020222"/>
    <n v="30022965"/>
    <s v="CNB PEAQ PMM C1008 - I01NL MD99336 REF"/>
    <s v="TOUCH/GLARE"/>
    <s v="64 GB eMMC"/>
    <s v="2048 MB"/>
    <s v="Intel® Atom® Processor Z3735F"/>
    <s v="1,33 GHz"/>
    <s v="MS Windows® 10"/>
    <x v="21"/>
    <s v="Pendrive"/>
    <s v="KB - NL /  zamiast recovery reimage"/>
    <m/>
    <s v="BIOS: 103;  EC 10301"/>
  </r>
  <r>
    <x v="50"/>
    <x v="47"/>
    <n v="30020559"/>
    <n v="30023087"/>
    <s v="NB PEAQ S6219 PNB S1415-I2N1S MD60017 NL REF"/>
    <s v="NON GLARE"/>
    <s v="64 GB eMMC HDD 500 GB "/>
    <s v="4096 MB"/>
    <s v="Intel® Pentium® Processor N3700"/>
    <s v="2,4 Ghz"/>
    <s v="MS Windows® 10"/>
    <x v="31"/>
    <s v="Pendrive"/>
    <s v="KB - NL"/>
    <m/>
    <s v="BIOS ver.: 1.54; EC ver.: 1.15.80"/>
  </r>
  <r>
    <x v="51"/>
    <x v="48"/>
    <n v="30020249"/>
    <n v="30023110"/>
    <s v="CNB PEAQ PMM C1010 - I01B2 MD99818 BE REF"/>
    <s v="TOUCH/GLARE"/>
    <s v="64 GB eMMC"/>
    <s v="2048 MB"/>
    <s v="Intel® Atom® Processor Z3735F"/>
    <s v="1,33 GHz"/>
    <s v="MS Windows® 10"/>
    <x v="21"/>
    <s v="Pendrive"/>
    <s v="KB -  BE /  zamiast recovery reimage"/>
    <m/>
    <s v="BIOS 1.03 EC 10301"/>
  </r>
  <r>
    <x v="52"/>
    <x v="49"/>
    <n v="30020459"/>
    <n v="30023111"/>
    <s v="CNB PEAQ P1211T PMMC1010–I02N3 MD99909NL REF"/>
    <s v="TOUCH/GLARE"/>
    <s v="64 GB eMMC"/>
    <s v="2048 MB"/>
    <s v="Intel® Atom® Processor Z3735F"/>
    <s v="1,33 GHz"/>
    <s v="MS Windows® 10"/>
    <x v="21"/>
    <s v="Pendrive"/>
    <s v="KB -  NL /  zamiast recovery reimage"/>
    <m/>
    <s v="BIOS 1.03 EC 10301"/>
  </r>
  <r>
    <x v="53"/>
    <x v="50"/>
    <n v="30020662"/>
    <n v="30023089"/>
    <s v="NB PEAQ P6663 PNB P2015-I5N1 MD60021 NL REF"/>
    <s v="NON GLARE"/>
    <s v="SSD 128 GB;  HDD 1 TB"/>
    <s v="12288 MB"/>
    <s v="Intel Core i5-6200U Prozessor"/>
    <s v="2,3 Ghz"/>
    <s v="MS Windows® 10"/>
    <x v="32"/>
    <s v="Pendrive"/>
    <s v="KB - NL"/>
    <m/>
    <s v="Bios 1.07 (C2015) w razie problemów z kb dograć EC"/>
  </r>
  <r>
    <x v="54"/>
    <x v="51"/>
    <n v="30020661"/>
    <n v="30023088"/>
    <s v="NB PEAQ E6425 PNB C2015-I5N1 MD60019 NL REF"/>
    <s v="NON GLARE"/>
    <s v="SSD 128 GB;  HDD 1 TB"/>
    <s v="6144 MB"/>
    <s v="Intel Core i5-6200U Prozessor"/>
    <s v="2,3 Ghz"/>
    <s v="MS Windows® 10"/>
    <x v="33"/>
    <s v="Pendrive (pisać pełny numer modelu) UWAGA 99019"/>
    <s v="wgrywać przez USB 2.0 - KB - NL "/>
    <m/>
    <s v="Bios 1.07 (C2015) w razie problemów z kb dograć EC"/>
  </r>
  <r>
    <x v="55"/>
    <x v="52"/>
    <n v="30020246"/>
    <n v="30023714"/>
    <s v="NB PEAQ PNB C1015 - I3B1 MD99809 BE"/>
    <s v="Matowy"/>
    <s v="1 TB SSHD"/>
    <s v="6 GB"/>
    <s v="i3-5005U"/>
    <s v="2 Ghz"/>
    <s v="Win 10"/>
    <x v="8"/>
    <s v="Pendrive"/>
    <s v="KB - BE, HINGE"/>
    <m/>
    <s v="1.80 (C1015) "/>
  </r>
  <r>
    <x v="56"/>
    <x v="53"/>
    <n v="30020247"/>
    <n v="30023740"/>
    <s v="NB PEAQ PNB S1414 - I1B1 W MD99816 BE"/>
    <s v="Matowy"/>
    <s v="32 GB eMMC"/>
    <s v="2 GB"/>
    <s v="Celeron N3150"/>
    <s v="1,6-2,08 Ghz"/>
    <s v="Win 10"/>
    <x v="34"/>
    <s v="Pendrive"/>
    <s v="Kb - BE"/>
    <m/>
    <s v="Bios N 1.55 EC 1.17.80 (S1414)"/>
  </r>
  <r>
    <x v="57"/>
    <x v="54"/>
    <n v="30021144"/>
    <n v="30023743"/>
    <s v="NB PEAQ E6415 PNB C2115-I3B1 MD60152 BE"/>
    <s v="Matowy"/>
    <s v="128 GB SSD 1,5 TB HDD"/>
    <s v="6 GB"/>
    <s v="i3-5005U"/>
    <s v="2 Ghz"/>
    <s v="Win 10"/>
    <x v="35"/>
    <s v="Pendrive"/>
    <s v="KB - BE, Sponge/Poron, Shipping Mode"/>
    <s v="Tak"/>
    <s v="Bios 703 (D15D)"/>
  </r>
  <r>
    <x v="58"/>
    <x v="55"/>
    <n v="30020660"/>
    <n v="30023742"/>
    <s v="NB PEAQ E6425 PNB C2015-I2N1 MD60018 NL"/>
    <s v="Matowy"/>
    <s v="128 GB SSD 1,5 TB HDD"/>
    <s v="6 GB DDR4"/>
    <s v="Pentium 4405U"/>
    <s v="2,1 Ghz"/>
    <s v="Win 10"/>
    <x v="36"/>
    <s v="Pendrive"/>
    <s v="KB - NL"/>
    <m/>
    <s v="Bios 1.07 (C2015) w razie problemów z kb dograć EC"/>
  </r>
  <r>
    <x v="59"/>
    <x v="56"/>
    <n v="30019277"/>
    <n v="30023741"/>
    <s v="NB PEAQ PNB C1011 - I0B1 MD99441 BE"/>
    <s v="Matowy"/>
    <s v="64 GB eMMC"/>
    <s v="2 GB"/>
    <s v="Atom Z3735F"/>
    <s v="1,33-1,83 Ghz"/>
    <s v="Win 10"/>
    <x v="12"/>
    <s v="Pendrive"/>
    <s v="Kb - BE"/>
    <m/>
    <s v="BIOS 1.00.12 (c1011)"/>
  </r>
  <r>
    <x v="60"/>
    <x v="57"/>
    <n v="30022160"/>
    <n v="30023744"/>
    <s v="NB E6425 PEAQ PNB C2015-I5N2 MD60420 NL"/>
    <s v="Matowy"/>
    <s v="512 SSD"/>
    <s v="8 GB"/>
    <s v="i5-6200U"/>
    <s v="2,3-2,8 Ghz"/>
    <s v="Win 10"/>
    <x v="33"/>
    <s v="Pendrive"/>
    <s v="KB - NL"/>
    <m/>
    <s v="Bios 1.07 (C2015) w razie problemów z kb dograć EC"/>
  </r>
  <r>
    <x v="61"/>
    <x v="58"/>
    <n v="30021111"/>
    <n v="30023924"/>
    <s v="NB PEAQ P6663 PNB P2015-I7B1 MD60154 BE"/>
    <s v="Matowy"/>
    <s v="128 GB SSD 1,5 TB HDD"/>
    <s v="16 GB"/>
    <s v="i7-6500U"/>
    <s v="2,5 - 3,1 Ghz"/>
    <s v="Win 10"/>
    <x v="32"/>
    <s v="Pendrive"/>
    <s v="Kb - BE"/>
    <m/>
    <s v="Bios  1.07 (P2015) w razie problemów z kb dograć EC"/>
  </r>
  <r>
    <x v="62"/>
    <x v="59"/>
    <n v="30020270"/>
    <n v="30023922"/>
    <s v="NB PEAQ PNB C1011 - I0B2 MD99819 BE"/>
    <s v="Matowy"/>
    <s v="64 GB eMMC"/>
    <s v="2 GB"/>
    <s v="Atom Z3735F"/>
    <s v="1,33-1,83 Ghz"/>
    <s v="Win 10"/>
    <x v="12"/>
    <s v="Pendrive"/>
    <s v="Kb - BE"/>
    <m/>
    <s v="BIOS 1.00.12 (c1011)"/>
  </r>
  <r>
    <x v="63"/>
    <x v="60"/>
    <n v="30021129"/>
    <n v="30023903"/>
    <s v="NB PEAQ S2217 PNB C1011- MD60149 BE"/>
    <s v="Matowy"/>
    <s v="64 GB eMMC"/>
    <s v="2 GB"/>
    <s v="Atom Z3735F"/>
    <s v="1,33-1,83 Ghz"/>
    <s v="Win 10"/>
    <x v="12"/>
    <s v="Pendrive"/>
    <s v="Kb - BE"/>
    <m/>
    <s v="BIOS 1.00.12 (c1011)"/>
  </r>
  <r>
    <x v="64"/>
    <x v="61"/>
    <n v="30020471"/>
    <n v="30023446"/>
    <s v="NB PEAQ S4219 S1414-I0N1 S MD99912 NL"/>
    <s v="Matowy"/>
    <s v="64 GB eMMC"/>
    <s v="2 GB"/>
    <s v="celeron N3050"/>
    <s v="1,6 - 2,16 Ghz"/>
    <s v="Win 10"/>
    <x v="34"/>
    <s v="Pendrive"/>
    <s v="KB - NL Reimage"/>
    <m/>
    <s v="Bios N 1.55 EC 1.17.80 (S1414)"/>
  </r>
  <r>
    <x v="65"/>
    <x v="62"/>
    <n v="30020244"/>
    <n v="30023713"/>
    <s v="NB PEAQ PNB P1115-I7B2 ALURS MD99808 BE   "/>
    <s v="Matowy"/>
    <s v="128 GB SSD 1 TB HDD"/>
    <s v="16 GB"/>
    <s v="i7-5500U"/>
    <s v="2,4 Ghz"/>
    <s v="Win 10"/>
    <x v="37"/>
    <s v="Pendrive"/>
    <s v="KB - BE,  Wymiana zawiasów."/>
    <m/>
    <s v="Bios 1.80 (P1115)"/>
  </r>
  <r>
    <x v="63"/>
    <x v="60"/>
    <n v="30021129"/>
    <n v="30023903"/>
    <s v="NB PEAQ S2217 PNB C1011- MD60149 BE"/>
    <s v="Matowy"/>
    <s v="64 GB eMMC"/>
    <s v="2 GB"/>
    <s v="Atom Z3735F"/>
    <s v="1,33-1,83 Ghz"/>
    <s v="Win 10"/>
    <x v="12"/>
    <s v="Pendrive"/>
    <s v="Kb - BE"/>
    <m/>
    <s v="BIOS 1.00.12 (c1011)"/>
  </r>
  <r>
    <x v="66"/>
    <x v="63"/>
    <n v="30020458"/>
    <n v="30023923"/>
    <s v="NB PEAQ PNB S1414 - I0N1 W"/>
    <s v="Matowy"/>
    <s v="64 GB"/>
    <s v="2 GB"/>
    <s v="celeron N3050"/>
    <s v="2,16 GHz"/>
    <s v="Win 10"/>
    <x v="34"/>
    <s v="Pendrive"/>
    <s v="KB - NL"/>
    <m/>
    <s v="Bios 1.55 EC 1.17.80"/>
  </r>
  <r>
    <x v="67"/>
    <x v="64"/>
    <n v="30020622"/>
    <n v="30023447"/>
    <s v="NB PEAQ S6419T PNB T2015-I3N1 MD99987 NL"/>
    <s v="TOUCH/GLARE"/>
    <s v="256 GB SSD"/>
    <s v="4 GB"/>
    <s v="i3-6100U"/>
    <s v="2,3 Ghz"/>
    <s v="Win 10"/>
    <x v="38"/>
    <s v="Pendrive image"/>
    <s v="KB NL"/>
    <m/>
    <s v="VACN11WW (T2015), Płaska ładowarka jak do Lenovo."/>
  </r>
  <r>
    <x v="68"/>
    <x v="65"/>
    <n v="30021325"/>
    <n v="30023202"/>
    <s v="CNB PEAQ E2215T PNB T2011 MD60223 NL REF"/>
    <s v="TOUCH /GLARE"/>
    <s v="64 GB eMMC"/>
    <s v="2048 MB"/>
    <s v="Intel® Atom® Processor x5 -Z8350"/>
    <s v="1,44 - 1,92 Ghz"/>
    <s v="MS Windows® 10"/>
    <x v="39"/>
    <s v="Pendrive"/>
    <s v="KB - NL /  zamiast recovery reimage"/>
    <m/>
    <s v="Bios V.5.0.11"/>
  </r>
  <r>
    <x v="69"/>
    <x v="66"/>
    <n v="30020663"/>
    <n v="30023203"/>
    <s v="NB PEAQ P6663 PNB P2015-I7N1 MD60022 NL REF"/>
    <s v="NON GLARE"/>
    <s v="SSD 256 GB;  HDD 1,5 TB"/>
    <s v="12288 MB"/>
    <s v="Intel Core i7-6500U Prozessor"/>
    <s v="2,5 Ghz"/>
    <s v="MS Windows® 10"/>
    <x v="32"/>
    <s v="Pendrive"/>
    <s v="KB - NL"/>
    <m/>
    <s v="Bios 1.07 (C2015) w razie problemów z kb dograć EC"/>
  </r>
  <r>
    <x v="70"/>
    <x v="67"/>
    <n v="30020470"/>
    <n v="30023326"/>
    <s v="CNB PEAQ P2213T PMMP1011–I12N1 MD99911NL REF"/>
    <s v="Touch / NON GLARE"/>
    <s v="eMMC 64GB"/>
    <s v="2048 MB"/>
    <s v="Intel® Celeron® Processor N2940"/>
    <s v="1,83 -2,25 GHz"/>
    <s v="MS Windows® 10"/>
    <x v="40"/>
    <s v="Pendrive"/>
    <s v="KB - NL /  zamiast recovery reimage"/>
    <s v="Tak"/>
    <s v="BIOS: 707; firmware: HDD&amp;DOCK(204); W urządzeniu powinien być ustawiony shipping mode Akku."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2"/>
    <x v="69"/>
    <n v="30021152"/>
    <n v="30024164"/>
    <s v="CNB PEAQ E1239T C2010-I02B1 MD60085 BE"/>
    <s v="Dotykowy"/>
    <s v="eMMC 64GB"/>
    <s v="2048 MB"/>
    <s v="Atom x5 -Z8350"/>
    <s v="1,44 - 1,92 Ghz"/>
    <s v="Win 10"/>
    <x v="42"/>
    <s v="Pendrive"/>
    <s v="BE"/>
    <m/>
    <s v="Bios TM12-W, nie wgrywać od mediona"/>
  </r>
  <r>
    <x v="73"/>
    <x v="70"/>
    <n v="30020621"/>
    <n v="30024308"/>
    <s v="NB PEAQ S6619T PNB T2015-I5N1 MD99989 NL"/>
    <s v="Dotykowy"/>
    <s v="SSD 256 GB"/>
    <s v="8 GB"/>
    <s v="i5-6200U"/>
    <s v="2,5 - 3,1 Ghz"/>
    <s v="Win 10"/>
    <x v="43"/>
    <s v="Pendrive"/>
    <s v="NL"/>
    <m/>
    <s v="BIOS Jaguar 11WW"/>
  </r>
  <r>
    <x v="74"/>
    <x v="71"/>
    <n v="30021116"/>
    <n v="30024165"/>
    <s v="NB PEAQ S4219 PNB S1414- MD60163 BE"/>
    <s v="Matowy"/>
    <s v="32 GB eMMC"/>
    <s v="2 GB"/>
    <s v="Celeron N3160"/>
    <s v="1,6-2,24 Ghz"/>
    <s v="Win 10"/>
    <x v="44"/>
    <s v="Pendrive"/>
    <s v="BE"/>
    <m/>
    <s v="Bios N 1.55 EC 1.17.80 (S1414)"/>
  </r>
  <r>
    <x v="75"/>
    <x v="72"/>
    <n v="30020248"/>
    <n v="30024168"/>
    <s v="NB PEAQ PNB S1414 - I1B1 S MD99817 BE "/>
    <s v="Matowy"/>
    <s v="32 GB eMMC + 512 GB HDD"/>
    <s v="2 GB"/>
    <s v="Celeron N3150"/>
    <s v="1,6-2,08 Ghz"/>
    <s v="Win 10"/>
    <x v="34"/>
    <s v="Pendrive"/>
    <s v="BE"/>
    <m/>
    <s v="Bios N 1.55 EC 1.17.80 (S1414)"/>
  </r>
  <r>
    <x v="76"/>
    <x v="73"/>
    <n v="30021119"/>
    <n v="30024309"/>
    <s v="CNB PEAQ P1211T PMM C1010- MD60097 "/>
    <s v="Dotykowy"/>
    <s v="64 GB eMMc"/>
    <s v="2 GB"/>
    <s v="Atom Z3735F"/>
    <s v="1,33-1,83 Ghz"/>
    <s v="Win 10"/>
    <x v="45"/>
    <s v="Pendrive"/>
    <s v="BE"/>
    <m/>
    <s v="BIOS 1.03 EC 10301 - 1.04"/>
  </r>
  <r>
    <x v="71"/>
    <x v="68"/>
    <m/>
    <m/>
    <m/>
    <m/>
    <m/>
    <m/>
    <m/>
    <m/>
    <m/>
    <x v="41"/>
    <m/>
    <m/>
    <m/>
    <m/>
  </r>
  <r>
    <x v="77"/>
    <x v="74"/>
    <n v="30020665"/>
    <n v="30024272"/>
    <s v="NB PEAQ P6665 PNB G2015 I5N1 MD60023 NL"/>
    <s v="Matowy"/>
    <s v="SSD 256 GB;  HDD 1 TB"/>
    <s v="12 GB"/>
    <s v="i5-6200U"/>
    <s v="2,5 - 3,1 Ghz"/>
    <s v="Win 10"/>
    <x v="36"/>
    <s v="Pendrive"/>
    <s v="NL, śróbka pod żółtą naklejką"/>
    <m/>
    <s v="Bios 1.07 (G2015) w razie problemów z kb dograć EC"/>
  </r>
  <r>
    <x v="78"/>
    <x v="75"/>
    <n v="30020220"/>
    <n v="30024167"/>
    <s v="NB PEAQ S4219 PNB S1414-I1C1S MD99802 CH"/>
    <s v="Matowy"/>
    <s v="SSD 128 GB HDD 512 GB"/>
    <s v="4 GB"/>
    <s v="Celeron N3700"/>
    <s v="1,6-2,4 Ghz"/>
    <s v="Win 10"/>
    <x v="46"/>
    <s v="Pendrive"/>
    <s v="kb - CH"/>
    <m/>
    <s v="Bios 1.55 EC 1.17.80"/>
  </r>
  <r>
    <x v="79"/>
    <x v="76"/>
    <n v="30020226"/>
    <n v="30024166"/>
    <s v="NB PEAQ S6219 PNB S1415 -I1C1 MD99801 CH"/>
    <s v="Matowy 1080p"/>
    <s v="1 TB"/>
    <s v="4 GB"/>
    <s v="celeron N3050"/>
    <s v="1,6-2,16 Ghz"/>
    <s v="Win 10"/>
    <x v="46"/>
    <s v="Pendrive"/>
    <s v="kb - CH"/>
    <m/>
    <s v="Bios 1.55 EC 1.17.80"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  <r>
    <x v="71"/>
    <x v="68"/>
    <m/>
    <m/>
    <m/>
    <m/>
    <m/>
    <m/>
    <m/>
    <m/>
    <m/>
    <x v="41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609">
  <r>
    <x v="0"/>
    <s v="-"/>
    <n v="30022222"/>
    <s v="-"/>
    <s v="-"/>
    <s v="Matowy"/>
    <s v="16 GB eMMc;"/>
    <s v="2 GB"/>
    <s v="Rockchip RK3288 Quad-Core Cortex-A17 "/>
    <s v="1,80 GHz"/>
    <s v="Google Chrome OS"/>
    <x v="0"/>
    <s v="Przywracamy oryginalny"/>
    <s v="Przywracamy oryginalny"/>
    <s v="S2015"/>
    <s v="HR-116E"/>
    <s v="Hai"/>
    <x v="0"/>
    <n v="40056750"/>
    <s v="chromebook"/>
    <m/>
  </r>
  <r>
    <x v="1"/>
    <s v="-"/>
    <n v="30022008"/>
    <s v="-"/>
    <s v="-"/>
    <s v="Matowy"/>
    <s v="256 GB SSD; 1 TB HDD"/>
    <s v="16 GB"/>
    <s v="i7-6500U"/>
    <s v="2,5-3,1 Ghz"/>
    <s v="Win 10"/>
    <x v="1"/>
    <s v="Pendrive"/>
    <s v="Shipping mode"/>
    <s v="P7643"/>
    <s v="D17S"/>
    <s v="Pegatron"/>
    <x v="1"/>
    <s v="-"/>
    <n v="3"/>
    <m/>
  </r>
  <r>
    <x v="2"/>
    <s v="PMM C1010-I01B3"/>
    <n v="30023094"/>
    <n v="30020624"/>
    <s v="-"/>
    <s v="Touch / NON GLARE"/>
    <s v="64 GB eMMC;"/>
    <s v="2 GB"/>
    <s v="Atom Z3735F"/>
    <s v="1,33-1,83 Ghz"/>
    <s v="Win 10"/>
    <x v="2"/>
    <s v="Pendrive"/>
    <s v="KB - BE /  zamiast recovery re"/>
    <s v="P1211T"/>
    <s v="WMBT1031"/>
    <s v="Tongfang"/>
    <x v="0"/>
    <s v="-"/>
    <s v="-"/>
    <m/>
  </r>
  <r>
    <x v="3"/>
    <s v="-"/>
    <n v="30024271"/>
    <s v="-"/>
    <s v="Grafitowy"/>
    <s v="Matowy"/>
    <s v="128 GB SSD; 1 TB HDD"/>
    <s v="8 GB"/>
    <s v="i7-6500U"/>
    <s v="2,5-3,1 Ghz"/>
    <s v="Win 10"/>
    <x v="3"/>
    <s v="Pendrive"/>
    <s v="-"/>
    <s v="P7641"/>
    <s v="D17S"/>
    <s v="Pegatron"/>
    <x v="1"/>
    <n v="40057143"/>
    <n v="3"/>
    <m/>
  </r>
  <r>
    <x v="4"/>
    <s v="PNB S1415-I2N1S"/>
    <n v="30023087"/>
    <n v="30020559"/>
    <s v="-"/>
    <s v="NON GLARE"/>
    <s v="64 GB eMMC; 500 GB HDD"/>
    <s v="4 GB"/>
    <s v="Pentium N3700"/>
    <s v="1,6-2,4 Ghz"/>
    <s v="Win 10"/>
    <x v="4"/>
    <s v="Pendrive"/>
    <s v="KB - NL"/>
    <s v="S6219"/>
    <s v="NSBW1x02"/>
    <s v="Tongfang"/>
    <x v="0"/>
    <s v="-"/>
    <s v="-"/>
    <m/>
  </r>
  <r>
    <x v="5"/>
    <s v=" PNB C2015-I2N1"/>
    <n v="30023742"/>
    <n v="30020660"/>
    <s v="-"/>
    <s v="Matowy"/>
    <s v="128 GB SSD; 1,5 TB HDD"/>
    <s v="6 GB"/>
    <s v="Pentium 4405U"/>
    <s v="2,10 GHz"/>
    <s v="Win 10"/>
    <x v="5"/>
    <s v="Pendrive"/>
    <s v="Nagrywać spod SWM 20062496; KB - NL"/>
    <s v="E6425"/>
    <s v="Polo 2"/>
    <s v="ECS"/>
    <x v="0"/>
    <s v="-"/>
    <s v="-"/>
    <m/>
  </r>
  <r>
    <x v="6"/>
    <s v="PNB C2015-I5N1"/>
    <n v="30023088"/>
    <n v="30020661"/>
    <s v="-"/>
    <s v="NON GLARE"/>
    <s v="128 GB SSD; 1 TB HDD"/>
    <s v="6 GB"/>
    <s v="i5-6200U"/>
    <s v="2,3-2,8 GHz"/>
    <s v="Win 10"/>
    <x v="6"/>
    <s v="Pendrive"/>
    <s v="wgrywać przez  2.0 - KB - NL "/>
    <s v="E6425"/>
    <s v="Polo 2"/>
    <s v="ECS"/>
    <x v="0"/>
    <s v="-"/>
    <s v="-"/>
    <m/>
  </r>
  <r>
    <x v="7"/>
    <s v="PNB P2015-I5N1"/>
    <n v="30023089"/>
    <n v="30020662"/>
    <s v="-"/>
    <s v="NON GLARE"/>
    <s v="128 GB SSD; 1 TB HDD"/>
    <s v="12 GB"/>
    <s v="i5-6200U"/>
    <s v="2,3-2,8 GHz"/>
    <s v="Win 10"/>
    <x v="7"/>
    <s v="Pendrive"/>
    <s v="KB - NL"/>
    <s v="P6663"/>
    <s v="Polo 2"/>
    <s v="ECS"/>
    <x v="0"/>
    <s v="-"/>
    <s v="-"/>
    <m/>
  </r>
  <r>
    <x v="8"/>
    <s v="PNB P2015-I7N1"/>
    <n v="30023203"/>
    <n v="30020663"/>
    <s v="-"/>
    <s v="NON GLARE"/>
    <s v="256 GB SSD; 1,5 TB HDD "/>
    <s v="12 GB"/>
    <s v="i7-6500U"/>
    <s v="2,5-3,1 Ghz"/>
    <s v="Win 10"/>
    <x v="7"/>
    <s v="Pendrive"/>
    <s v="KB - NL"/>
    <s v="P6663 "/>
    <s v="Polo 2"/>
    <s v="ECS"/>
    <x v="0"/>
    <s v="-"/>
    <s v="-"/>
    <m/>
  </r>
  <r>
    <x v="9"/>
    <s v="PNB G2015-I5N1"/>
    <n v="30024272"/>
    <n v="30020665"/>
    <s v="-"/>
    <s v="Matowy"/>
    <s v="256 GB SSD; 1 TB HDD"/>
    <s v="12 GB"/>
    <s v="i5-6200U"/>
    <s v="2,3-2,8 GHz"/>
    <s v="Win 10"/>
    <x v="5"/>
    <s v="Pendrive"/>
    <s v="Nagrywać spod SWM 20062496;NL, śróbka pod żółtą naklejką"/>
    <s v="P6665"/>
    <s v="Polo 2"/>
    <s v="ECS"/>
    <x v="0"/>
    <s v="-"/>
    <s v="-"/>
    <m/>
  </r>
  <r>
    <x v="10"/>
    <s v="-"/>
    <n v="30022962"/>
    <s v="-"/>
    <s v="-"/>
    <s v="Matowy"/>
    <s v=";1 TB HDD"/>
    <s v="8 GB"/>
    <s v="Pentium 4405U"/>
    <s v="2,10 GHz"/>
    <s v="Win 10"/>
    <x v="8"/>
    <s v="Pendrive"/>
    <s v="Shipping mode"/>
    <s v="E7419"/>
    <s v="D17S"/>
    <s v="Pegatron"/>
    <x v="1"/>
    <s v="-"/>
    <n v="3"/>
    <m/>
  </r>
  <r>
    <x v="11"/>
    <s v="-"/>
    <n v="30023164"/>
    <s v="-"/>
    <s v="-"/>
    <s v="Matowy"/>
    <s v=";500 GB HDD"/>
    <s v="4 GB"/>
    <s v="Pentium N3700"/>
    <s v="1,6-2,4 Ghz"/>
    <s v="Win 10"/>
    <x v="9"/>
    <s v="Pendrive"/>
    <s v="Nowe MB magą się nie włączać dopóki nie poklika się kila razy we włącznik."/>
    <s v="S6219"/>
    <s v="NSBW1x02"/>
    <s v="Tongfang"/>
    <x v="0"/>
    <s v="-"/>
    <n v="4"/>
    <m/>
  </r>
  <r>
    <x v="12"/>
    <s v="-"/>
    <n v="30022773"/>
    <s v="-"/>
    <s v="-"/>
    <s v="Matowy"/>
    <s v=";500 GB HDD"/>
    <s v="2 GB"/>
    <s v="Pentium N3700"/>
    <s v="1,6-2,4 Ghz"/>
    <s v="Win 10"/>
    <x v="10"/>
    <s v="Pendrive"/>
    <s v="Nowe MB magą się nie włączać dopóki nie poklika się kila razy we włącznik."/>
    <s v="S4220"/>
    <s v="NSBW1x02"/>
    <s v="Tongfang"/>
    <x v="0"/>
    <s v="-"/>
    <n v="4"/>
    <m/>
  </r>
  <r>
    <x v="13"/>
    <s v="-"/>
    <n v="30022774"/>
    <s v="-"/>
    <s v="-"/>
    <s v="Touch / NON GLARE"/>
    <s v="64 GB eMMC;"/>
    <s v="2 GB"/>
    <s v="Atom X5-Z8350"/>
    <s v="1,44 - 1,92 Ghz"/>
    <s v="Win 10"/>
    <x v="11"/>
    <s v="Pendrive"/>
    <s v="Zamiast Recovery robimy RE-!!!"/>
    <s v="E1239T"/>
    <s v="3165 3ND "/>
    <s v="Wingman"/>
    <x v="0"/>
    <n v="40058940"/>
    <n v="2"/>
    <m/>
  </r>
  <r>
    <x v="14"/>
    <s v="-"/>
    <n v="30022221"/>
    <s v="-"/>
    <s v="-"/>
    <s v="Matowy"/>
    <s v="16 GB eMMc;"/>
    <s v="2 GB"/>
    <s v="Rockchip RK3288 Quad-Core Cortex-A17 "/>
    <s v="1,80 GHz"/>
    <s v="Google Chrome OS"/>
    <x v="0"/>
    <s v="Przywracamy oryginalny"/>
    <s v="Przywracamy oryginalny"/>
    <s v="S2013 "/>
    <s v="HR-116R"/>
    <s v="Hai"/>
    <x v="0"/>
    <s v="-"/>
    <s v="chromebook"/>
    <m/>
  </r>
  <r>
    <x v="15"/>
    <s v="-"/>
    <n v="30022649"/>
    <s v="-"/>
    <s v="-"/>
    <s v="Matowy"/>
    <s v="32 GB eMMC;"/>
    <s v="2 GB"/>
    <s v="celeron N3160"/>
    <s v="1,6-2,24 Ghz"/>
    <s v="Win 10"/>
    <x v="12"/>
    <s v="Pendrive"/>
    <s v="Zamiast Recovery robimy RE-!!! Nowe MB magą się nie włączać dopóki nie poklika się kila razy we włącznik."/>
    <s v="S4219"/>
    <s v="NSBW1x02"/>
    <s v="Tongfang"/>
    <x v="0"/>
    <s v="-"/>
    <n v="4"/>
    <m/>
  </r>
  <r>
    <x v="16"/>
    <s v="C2010-I02B1"/>
    <n v="30024164"/>
    <n v="30021152"/>
    <s v="-"/>
    <s v="Touch"/>
    <s v="64 GB eMMC;"/>
    <s v="2 GB"/>
    <s v="Atom X5-Z8350"/>
    <s v="1,44 - 1,92 Ghz"/>
    <s v="Win 10"/>
    <x v="13"/>
    <s v="Pendrive"/>
    <s v="BE"/>
    <s v="E1239T"/>
    <s v="3165 3ND"/>
    <s v="Wingman"/>
    <x v="0"/>
    <s v="-"/>
    <s v="-"/>
    <m/>
  </r>
  <r>
    <x v="17"/>
    <s v="-"/>
    <n v="30022406"/>
    <s v="-"/>
    <s v="-"/>
    <s v="Matowy"/>
    <s v="256 GB SSD;"/>
    <s v="8 GB"/>
    <s v="i5-6200U"/>
    <s v="2,3-2,8 GHz"/>
    <s v="Win 10"/>
    <x v="14"/>
    <s v="Pendrive"/>
    <s v="Shipping mode"/>
    <s v="P7641"/>
    <s v="D17S"/>
    <s v="Pegatron"/>
    <x v="1"/>
    <s v="-"/>
    <n v="3"/>
    <m/>
  </r>
  <r>
    <x v="18"/>
    <s v="-"/>
    <n v="30022898"/>
    <s v="-"/>
    <s v="-"/>
    <s v="Matowy"/>
    <s v="128 GB SSD; 1 TB HDD"/>
    <s v="6 GB"/>
    <s v="i5-6267U"/>
    <s v="2,90 GHz"/>
    <s v="Win 10"/>
    <x v="8"/>
    <s v="Pendrive"/>
    <s v="Shipping mode"/>
    <s v="E7421"/>
    <s v="D17S"/>
    <s v="Pegatron"/>
    <x v="1"/>
    <s v="-"/>
    <n v="3"/>
    <m/>
  </r>
  <r>
    <x v="19"/>
    <s v="-"/>
    <n v="30023316"/>
    <s v="-"/>
    <s v="-"/>
    <s v="Matowy"/>
    <s v="128 GB SSD; 1,5 TB HDD"/>
    <s v="6 GB"/>
    <s v="i5-6200U"/>
    <s v="2,3-2,8 GHz"/>
    <s v="Win 10"/>
    <x v="14"/>
    <s v="Pendrive"/>
    <s v="Shipping mode"/>
    <s v="P7641"/>
    <s v="D17S"/>
    <s v="Pegatron"/>
    <x v="1"/>
    <s v="-"/>
    <n v="3"/>
    <m/>
  </r>
  <r>
    <x v="20"/>
    <s v="-"/>
    <n v="30022961"/>
    <s v="-"/>
    <s v="-"/>
    <s v="Matowy"/>
    <s v="128 GB SSD; 1,5 TB HDD"/>
    <s v="8 GB"/>
    <s v="i7-6500U"/>
    <s v="2,5-3,1 Ghz"/>
    <s v="Win 10"/>
    <x v="14"/>
    <s v="Pendrive"/>
    <s v="Shipping mode"/>
    <s v="P7641"/>
    <s v="D17S"/>
    <s v="Pegatron"/>
    <x v="1"/>
    <s v="-"/>
    <n v="3"/>
    <m/>
  </r>
  <r>
    <x v="21"/>
    <s v="-"/>
    <n v="30023901"/>
    <s v="-"/>
    <s v="Srebrny"/>
    <s v="Matowy"/>
    <s v="32 GB eMMC;"/>
    <s v="2 GB"/>
    <s v="Atom Z3735F"/>
    <s v="1,33-1,83 Ghz"/>
    <s v="Win 10"/>
    <x v="15"/>
    <s v="Pendrive"/>
    <s v="Re"/>
    <s v="S2217"/>
    <s v="EF20"/>
    <s v="ECS"/>
    <x v="0"/>
    <s v="-"/>
    <s v="bez"/>
    <m/>
  </r>
  <r>
    <x v="22"/>
    <s v="PMM C1010-I0N2"/>
    <n v="30024309"/>
    <n v="30021119"/>
    <s v="-"/>
    <s v="Touch"/>
    <s v="64 GB eMMC;"/>
    <s v="2 GB"/>
    <s v="Atom Z3735F"/>
    <s v="1,33-1,83 Ghz"/>
    <s v="Win 10"/>
    <x v="16"/>
    <s v="Pendrive"/>
    <s v="BE"/>
    <s v="P1211T"/>
    <s v="WMBT1031"/>
    <s v="Tongfang"/>
    <x v="0"/>
    <s v="-"/>
    <s v="-"/>
    <m/>
  </r>
  <r>
    <x v="23"/>
    <s v="-"/>
    <n v="30023092"/>
    <s v="-"/>
    <s v="-"/>
    <s v="Touch / NON GLARE"/>
    <s v="64 GB eMMC;"/>
    <s v="2 GB"/>
    <s v="Atom X5-Z8350"/>
    <s v="1,44 - 1,92 Ghz"/>
    <s v="Win 10"/>
    <x v="17"/>
    <s v="Pendrive"/>
    <s v="Zamiast Recovery robimy RE-!!!"/>
    <s v=" E1240T"/>
    <s v="3165 3ND "/>
    <s v="Wingman"/>
    <x v="0"/>
    <s v="-"/>
    <n v="2"/>
    <m/>
  </r>
  <r>
    <x v="24"/>
    <s v="-"/>
    <n v="30022262"/>
    <s v="-"/>
    <s v="-"/>
    <s v="Matowy"/>
    <s v=";500 GB HDD"/>
    <s v="2 GB"/>
    <s v="Celeron N3060"/>
    <s v="1,6-2,48 Ghz"/>
    <s v="Win 10"/>
    <x v="9"/>
    <s v="Pendrive"/>
    <s v="Obowiązkowa instrukcja ME.QA.02.528 /Nowe MB magą się nie włączać dopóki nie poklika się kila razy we włącznik. EC"/>
    <s v="S6219"/>
    <s v="NSBW1x02"/>
    <s v="Tongfang"/>
    <x v="0"/>
    <s v="-"/>
    <n v="4"/>
    <m/>
  </r>
  <r>
    <x v="25"/>
    <s v="-"/>
    <n v="30022552"/>
    <s v="-"/>
    <s v="-"/>
    <s v="Matowy"/>
    <s v=";500 GB HDD"/>
    <s v="4 GB"/>
    <s v="Celeron N3060"/>
    <s v="1,6-2,48 Ghz"/>
    <s v="Win 10"/>
    <x v="9"/>
    <s v="Pendrive"/>
    <s v="Obowiązkowa instrukcja ME.QA.02.528 /Nowe MB magą się nie włączać dopóki nie poklika się kila razy we włącznik. EC"/>
    <s v="S6219"/>
    <s v="NSBW1x02"/>
    <s v="Tongfang"/>
    <x v="0"/>
    <s v="-"/>
    <n v="4"/>
    <m/>
  </r>
  <r>
    <x v="26"/>
    <s v="-"/>
    <n v="30024273"/>
    <s v="-"/>
    <s v="Srebrny"/>
    <s v="Matowy"/>
    <s v="256 GB SSD;"/>
    <s v="8 GB"/>
    <s v="i5-6200U"/>
    <s v="2,3-2,8 GHz"/>
    <s v="Win 10"/>
    <x v="18"/>
    <s v="Pendrive"/>
    <s v="-"/>
    <s v="E6429"/>
    <s v="E15S"/>
    <s v="Pegatron"/>
    <x v="0"/>
    <s v="-"/>
    <n v="3"/>
    <m/>
  </r>
  <r>
    <x v="27"/>
    <s v="-"/>
    <n v="30024433"/>
    <s v="-"/>
    <s v="Srebrny"/>
    <s v="Matowy 720p"/>
    <s v="128 GB SSD; 1 TB HDD"/>
    <s v="8 GB"/>
    <s v="i5-6200U"/>
    <s v="2,3-2,8 GHz"/>
    <s v="Win 10"/>
    <x v="18"/>
    <s v="Pendrive"/>
    <s v="-"/>
    <s v="E6429"/>
    <s v="E15S"/>
    <s v="Pegatron"/>
    <x v="0"/>
    <s v="-"/>
    <n v="3"/>
    <m/>
  </r>
  <r>
    <x v="28"/>
    <s v="-"/>
    <n v="30024274"/>
    <s v="-"/>
    <s v="Grafitowy"/>
    <s v="Matowy"/>
    <s v=";1 TB HDD"/>
    <s v="8 GB"/>
    <s v="i5-6200U"/>
    <s v="2,3-2,8 GHz"/>
    <s v="Win 10"/>
    <x v="19"/>
    <s v="Pendrive"/>
    <s v="-"/>
    <s v="P6669"/>
    <s v="E15S"/>
    <s v="Pegatron"/>
    <x v="0"/>
    <n v="40056401"/>
    <n v="3"/>
    <m/>
  </r>
  <r>
    <x v="29"/>
    <s v="-"/>
    <n v="30024094"/>
    <s v="-"/>
    <s v="Srebrny"/>
    <s v="Matowy"/>
    <s v="128 GB SSD; 1,5 TB HDD"/>
    <s v="6 GB"/>
    <s v="i5-6267U"/>
    <s v="2,9 Ghz"/>
    <s v="Win 10"/>
    <x v="18"/>
    <s v="Pendrive"/>
    <s v="odczepiona taśma od IO board"/>
    <s v="E6431"/>
    <s v="E15S"/>
    <s v="Pegatron"/>
    <x v="0"/>
    <n v="40056401"/>
    <n v="3"/>
    <m/>
  </r>
  <r>
    <x v="30"/>
    <s v="-"/>
    <n v="30024095"/>
    <s v="-"/>
    <s v="Grafitowy"/>
    <s v="Matowy"/>
    <s v="128 GB SSD; 1 TB HDD"/>
    <s v="8 GB"/>
    <s v="i7-6500U"/>
    <s v="2,5-3,1 Ghz"/>
    <s v="Win 10"/>
    <x v="19"/>
    <s v="Pendrive"/>
    <s v="-"/>
    <s v="E6669"/>
    <s v="E15S"/>
    <s v="Pegatron"/>
    <x v="0"/>
    <n v="40056401"/>
    <n v="3"/>
    <m/>
  </r>
  <r>
    <x v="31"/>
    <s v="-"/>
    <n v="30024096"/>
    <s v="-"/>
    <s v="Srebrny"/>
    <s v="Matowy"/>
    <s v="128 GB SSD; 1,5 TB HDD"/>
    <s v="8 GB"/>
    <s v="i7-6567U"/>
    <s v="3,3 Ghz"/>
    <s v="Win 10"/>
    <x v="18"/>
    <s v="Pendrive"/>
    <s v="-"/>
    <s v="E6431"/>
    <s v="E15S"/>
    <s v="Pegatron"/>
    <x v="0"/>
    <n v="40056401"/>
    <n v="3"/>
    <m/>
  </r>
  <r>
    <x v="32"/>
    <s v="-"/>
    <n v="30022611"/>
    <s v="-"/>
    <s v="Czarny, gumowany"/>
    <s v="Matowy"/>
    <s v=";1 TB HDD"/>
    <s v="8 GB"/>
    <s v="i5-6200U"/>
    <s v="2,3-2,8 GHz"/>
    <s v="Win 10"/>
    <x v="20"/>
    <s v="Pendrive"/>
    <s v="sponge/ poron"/>
    <s v="P6661"/>
    <s v="D15S"/>
    <s v="Pegatron"/>
    <x v="1"/>
    <n v="40057143"/>
    <n v="3"/>
    <m/>
  </r>
  <r>
    <x v="33"/>
    <s v="-"/>
    <n v="30024097"/>
    <s v="-"/>
    <s v="Grafitowy"/>
    <s v="Błyszczący"/>
    <s v=";1 TB HDD"/>
    <s v="8 GB"/>
    <s v="i5-6200U"/>
    <s v="2,3-2,8 GHz"/>
    <s v="Win 10"/>
    <x v="21"/>
    <s v="Pendrive"/>
    <s v="sponge/ poron"/>
    <s v="P6667"/>
    <s v="D15S"/>
    <s v="Pegatron"/>
    <x v="1"/>
    <n v="40057149"/>
    <n v="3"/>
    <m/>
  </r>
  <r>
    <x v="34"/>
    <s v="-"/>
    <n v="30024341"/>
    <s v="-"/>
    <s v="Srebrny"/>
    <s v="Matowy"/>
    <s v="128 GB SSD; 1 TB HDD"/>
    <s v="8 GB"/>
    <s v="Pentium 4405U"/>
    <s v="2,10 GHz"/>
    <s v="Win 10"/>
    <x v="8"/>
    <s v="Pendrive"/>
    <s v="sponge/ poron"/>
    <s v="E6421"/>
    <s v="D15S"/>
    <s v="Pegatron"/>
    <x v="1"/>
    <s v="-"/>
    <n v="3"/>
    <m/>
  </r>
  <r>
    <x v="35"/>
    <s v="-"/>
    <n v="30023902"/>
    <s v="-"/>
    <s v="Grafitowy"/>
    <s v="Matowy"/>
    <s v="128 GB SSD; 1,5 TB HDD"/>
    <s v="8 GB"/>
    <s v="i5-6200U"/>
    <s v="2,3-2,8 GHz"/>
    <s v="-"/>
    <x v="22"/>
    <s v="LIVE Pendrive"/>
    <s v="-"/>
    <s v="P6669"/>
    <s v="E15S"/>
    <s v="Pegatron"/>
    <x v="0"/>
    <s v="-"/>
    <n v="3"/>
    <m/>
  </r>
  <r>
    <x v="36"/>
    <s v="-"/>
    <n v="30024098"/>
    <s v="-"/>
    <s v="Grafitowy"/>
    <s v="Błyszczący"/>
    <s v="128 GB SSD; 1 TB HDD"/>
    <s v="6 GB"/>
    <s v="i5-6200U"/>
    <s v="2,3-2,8 GHz"/>
    <s v="Win 10"/>
    <x v="21"/>
    <s v="Pendrive"/>
    <s v="sponge/ poron"/>
    <s v="P6667"/>
    <s v="D15S"/>
    <s v="Pegatron"/>
    <x v="1"/>
    <n v="40057149"/>
    <n v="3"/>
    <m/>
  </r>
  <r>
    <x v="37"/>
    <s v="-"/>
    <n v="30024099"/>
    <s v="-"/>
    <s v="Srebrny"/>
    <s v="Matowy 1080p"/>
    <s v="128 GB eMMC; 512 GB HDD"/>
    <s v="4 GB"/>
    <s v="Celeron N3060"/>
    <s v="1,6-2,48 Ghz"/>
    <s v="Win 10"/>
    <x v="23"/>
    <s v="Pendrive"/>
    <s v="Obowiązkowa instrukcja ME.QA.02.528 / EC"/>
    <s v="S6219"/>
    <s v="NSBW1x02"/>
    <s v="Tongfang"/>
    <x v="0"/>
    <s v="-"/>
    <n v="4"/>
    <m/>
  </r>
  <r>
    <x v="38"/>
    <s v="PNB C1011-I0B3"/>
    <n v="30023903"/>
    <n v="30021129"/>
    <s v="-"/>
    <s v="Matowy"/>
    <s v="64 GB eMMC;"/>
    <s v="2 GB"/>
    <s v="Atom Z3735F"/>
    <s v="1,33-1,83 Ghz"/>
    <s v="Win 10"/>
    <x v="24"/>
    <s v="Pendrive"/>
    <s v="KB - BE"/>
    <s v="S2217"/>
    <s v="EF20"/>
    <s v="ECS"/>
    <x v="0"/>
    <s v="-"/>
    <s v="-"/>
    <m/>
  </r>
  <r>
    <x v="39"/>
    <s v="-"/>
    <n v="30023093"/>
    <s v="-"/>
    <s v="-"/>
    <s v="Matowy"/>
    <s v="128 GB SSD; 1 TB HDD"/>
    <s v="4 GB"/>
    <s v="i3-7100U"/>
    <s v="2,4 Ghz"/>
    <s v="Win 10"/>
    <x v="25"/>
    <s v="Pendrive"/>
    <s v="Shipping mode,  Touchpad firmaware, Substytut SSD 256 GB"/>
    <s v="E7424"/>
    <s v="D17K"/>
    <s v="Pegatron"/>
    <x v="1"/>
    <s v="-"/>
    <n v="3"/>
    <m/>
  </r>
  <r>
    <x v="40"/>
    <s v="PNB C2115-I3B1"/>
    <n v="30023743"/>
    <n v="30021144"/>
    <s v="-"/>
    <s v="Matowy"/>
    <s v="128 GB SSD; 1,5 TB HDD"/>
    <s v="6 GB"/>
    <s v="i3-5005U"/>
    <s v="2 Ghz"/>
    <s v="Win 10"/>
    <x v="26"/>
    <s v="Pendrive"/>
    <s v="KB - BE, Sponge/Poron, Shipping Mode"/>
    <s v="E6415"/>
    <s v="D15D"/>
    <s v="Pegatron"/>
    <x v="1"/>
    <s v="-"/>
    <s v="-"/>
    <m/>
  </r>
  <r>
    <x v="41"/>
    <s v="PNB P2015-I7B1"/>
    <n v="30023924"/>
    <n v="30021111"/>
    <s v="-"/>
    <s v="Matowy"/>
    <s v="128 GB SSD; 1,5 TB HDD"/>
    <s v="16 GB"/>
    <s v="i7-6500U"/>
    <s v="2,5-3,1 Ghz"/>
    <s v="Win 10"/>
    <x v="7"/>
    <s v="Pendrive"/>
    <s v="KB - BE"/>
    <s v=" P6663"/>
    <s v="Polo 2"/>
    <s v="ECS"/>
    <x v="0"/>
    <s v="-"/>
    <s v="-"/>
    <m/>
  </r>
  <r>
    <x v="42"/>
    <s v="NB PEAQ S4219 PNB S1414- MD60163 BE "/>
    <n v="30024165"/>
    <n v="30021116"/>
    <s v="-"/>
    <s v="Matowy"/>
    <s v="32 GB eMMC;"/>
    <s v="2 GB"/>
    <s v="celeron N3160"/>
    <s v="1,6-2,24 Ghz"/>
    <s v="Win 10"/>
    <x v="27"/>
    <s v="Pendrive"/>
    <s v="BE"/>
    <s v="S1414"/>
    <s v="NSBW1x02"/>
    <s v="Tongfang"/>
    <x v="0"/>
    <s v="-"/>
    <s v="-"/>
    <m/>
  </r>
  <r>
    <x v="43"/>
    <s v="-"/>
    <n v="30024110"/>
    <s v="-"/>
    <s v="Srebrny"/>
    <s v="Matowy"/>
    <s v=";1 TB HDD"/>
    <s v="4 GB"/>
    <s v="Pentium 3825U"/>
    <s v="1,9 Ghz"/>
    <s v="Win 10"/>
    <x v="28"/>
    <s v="Pendrive"/>
    <s v="sponge/ poron"/>
    <s v="E6416"/>
    <s v="D15D"/>
    <s v="Pegatron"/>
    <x v="1"/>
    <s v="-"/>
    <n v="3"/>
    <m/>
  </r>
  <r>
    <x v="44"/>
    <s v="-"/>
    <n v="30022188"/>
    <s v="-"/>
    <s v="-"/>
    <s v="Matowy"/>
    <s v="128 GB SSD;"/>
    <s v="4 GB"/>
    <s v="Pentium 4405U"/>
    <s v="2,10 GHz"/>
    <s v="Win 10"/>
    <x v="29"/>
    <s v="Pendrive"/>
    <s v="sponge/ poron"/>
    <s v="E6421"/>
    <s v="D15S"/>
    <s v="Pegatron"/>
    <x v="1"/>
    <s v="-"/>
    <n v="3"/>
    <m/>
  </r>
  <r>
    <x v="45"/>
    <s v="-"/>
    <n v="30022775"/>
    <s v="-"/>
    <s v="-"/>
    <s v="Matowy"/>
    <s v=";1 TB HDD"/>
    <s v="8 GB"/>
    <s v="i3 - 5005U"/>
    <s v="2,0 GHz"/>
    <s v="Win 10"/>
    <x v="30"/>
    <s v="Pendrive"/>
    <s v="sponge/ poron"/>
    <s v="E6415"/>
    <s v="D15D"/>
    <s v="Pegatron"/>
    <x v="1"/>
    <s v="-"/>
    <n v="3"/>
    <m/>
  </r>
  <r>
    <x v="46"/>
    <s v="-"/>
    <n v="30024111"/>
    <s v="-"/>
    <s v="Brązowy"/>
    <s v="Matowy"/>
    <s v=";500GB HDD"/>
    <s v="4 GB"/>
    <s v="i3-5005U"/>
    <s v="2 Ghz"/>
    <s v="Win 10"/>
    <x v="31"/>
    <s v="Pendrive"/>
    <s v="-"/>
    <s v="E7415"/>
    <s v="D17D"/>
    <s v="Pegatron"/>
    <x v="1"/>
    <n v="40056401"/>
    <n v="3"/>
    <m/>
  </r>
  <r>
    <x v="47"/>
    <s v="-"/>
    <n v="30024112"/>
    <s v="-"/>
    <s v="Biał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48"/>
    <s v="-"/>
    <n v="30024113"/>
    <s v="-"/>
    <s v="Czarn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49"/>
    <s v="-"/>
    <n v="30024114"/>
    <s v="-"/>
    <s v="Czarny"/>
    <s v="Matowy"/>
    <s v="32 GB eMMC;"/>
    <s v="2 GB"/>
    <s v="celeron N3160"/>
    <s v="1,6-2,24 Ghz"/>
    <s v="Win 10"/>
    <x v="33"/>
    <s v="Pendrive"/>
    <s v="-"/>
    <s v="E2213"/>
    <s v="SF20"/>
    <s v="ECS"/>
    <x v="0"/>
    <n v="40057296"/>
    <n v="4"/>
    <m/>
  </r>
  <r>
    <x v="50"/>
    <s v="-"/>
    <n v="30022660"/>
    <s v="-"/>
    <s v="-"/>
    <s v="Touch / NON GLARE"/>
    <s v="64 GB eMMC;"/>
    <s v="2 GB"/>
    <s v="Atom X5-Z8350"/>
    <s v="1,44 - 1,92 Ghz"/>
    <s v="Win 10"/>
    <x v="17"/>
    <s v="Pendrive"/>
    <s v="Zamiast Recovery robimy RE-!!!"/>
    <s v="E1239T"/>
    <s v="3165 3ND "/>
    <s v="Wingman"/>
    <x v="0"/>
    <s v="-"/>
    <n v="2"/>
    <m/>
  </r>
  <r>
    <x v="51"/>
    <s v="-"/>
    <n v="30022776"/>
    <s v="-"/>
    <s v="-"/>
    <s v="Touch / NON GLARE"/>
    <s v="128 GB SSD;"/>
    <s v="2 GB"/>
    <s v="Atom X5-Z8350"/>
    <s v="1,44 - 1,92 Ghz"/>
    <s v="Win 10"/>
    <x v="11"/>
    <s v="Pendrive"/>
    <s v="Zamiast Recovery robimy RE-!!!"/>
    <s v=" E1239T"/>
    <s v="3165 3ND "/>
    <s v="Wingman"/>
    <x v="0"/>
    <s v="-"/>
    <n v="2"/>
    <m/>
  </r>
  <r>
    <x v="52"/>
    <s v="-"/>
    <n v="30022666"/>
    <s v="-"/>
    <s v="-"/>
    <s v="Matowy"/>
    <s v="128 GB SSD;"/>
    <s v="8 GB"/>
    <s v="i5-6200U"/>
    <s v="2,3-2,8 GHz"/>
    <s v="Win 10"/>
    <x v="20"/>
    <s v="Pendrive"/>
    <s v="sponge/ poron"/>
    <s v="P6661"/>
    <s v="D15S"/>
    <s v="Pegatron"/>
    <x v="1"/>
    <s v="-"/>
    <n v="3"/>
    <m/>
  </r>
  <r>
    <x v="53"/>
    <s v="-"/>
    <s v="30022665, 30024591 (NL)"/>
    <s v="-"/>
    <s v="-"/>
    <s v="Touch / NON GLARE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54"/>
    <s v="-"/>
    <s v="30023149, 30023576, 30023575, 30024588 (BE)"/>
    <s v="-"/>
    <s v="Złoty, Biały, Czarny"/>
    <s v="Touch"/>
    <s v="64 GB eMMC;"/>
    <s v="4 GB"/>
    <s v="Atom x5-z8300"/>
    <s v="1,44-1,84 Ghz"/>
    <s v="Win 10"/>
    <x v="34"/>
    <s v="Pendrive"/>
    <s v="Magnesy w TOP CASE! Update biosu, do najwyższego Build Date."/>
    <s v="E2218T"/>
    <s v="NT16H"/>
    <s v="Emdoor"/>
    <x v="0"/>
    <s v="-"/>
    <n v="2"/>
    <m/>
  </r>
  <r>
    <x v="55"/>
    <s v="-"/>
    <s v="30023315, 30024576 (ES)"/>
    <s v="-"/>
    <s v="Biał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56"/>
    <s v="-"/>
    <s v="30023577, 30024589 (ES)"/>
    <s v="-"/>
    <s v="Czarn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57"/>
    <s v="-"/>
    <n v="30024042"/>
    <s v="-"/>
    <s v="Srebrny"/>
    <s v="Matowy"/>
    <s v="128 GB SSD;"/>
    <s v="4 GB"/>
    <s v="Pentium N3700"/>
    <s v="1,6-2,4 Ghz"/>
    <s v="Win 10"/>
    <x v="23"/>
    <s v="Pendrive"/>
    <s v="Obowiązkowa instrukcja ME.QA.02.528 / EC"/>
    <s v="S6219"/>
    <s v="NSBW1x02"/>
    <s v="Tongfang"/>
    <x v="0"/>
    <s v="-"/>
    <n v="4"/>
    <m/>
  </r>
  <r>
    <x v="58"/>
    <s v="-"/>
    <n v="30023555"/>
    <s v="-"/>
    <s v="-"/>
    <s v="Matowy"/>
    <s v="256 GB SSD;"/>
    <s v="8 GB"/>
    <s v="i5-7200u"/>
    <s v="2,5-3,1 Ghz"/>
    <s v="Win 10"/>
    <x v="35"/>
    <s v="Pendrive64 GB"/>
    <s v="(Shipping mode)"/>
    <s v="S3409"/>
    <s v="F13K"/>
    <s v="Pegatron"/>
    <x v="1"/>
    <s v="-"/>
    <n v="3"/>
    <m/>
  </r>
  <r>
    <x v="59"/>
    <s v="CNB PEAQ E2215T PNB T2011 MD60223 NL REF"/>
    <n v="30023202"/>
    <n v="30021325"/>
    <s v="-"/>
    <s v="Touch /GLARE"/>
    <s v="64 GB eMMC;"/>
    <s v="2 GB"/>
    <s v="Atom X5-Z8350"/>
    <s v="1,44 - 1,92 Ghz"/>
    <s v="Win 10"/>
    <x v="36"/>
    <s v="Pendrive"/>
    <s v="KB - NL /  zamiast recovery re"/>
    <s v="T2011"/>
    <s v="NT16H"/>
    <s v="Emdoor"/>
    <x v="0"/>
    <s v="-"/>
    <s v="-"/>
    <m/>
  </r>
  <r>
    <x v="60"/>
    <s v="-"/>
    <n v="30024342"/>
    <s v="-"/>
    <s v="Czarn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61"/>
    <s v="-"/>
    <n v="30024115"/>
    <s v="-"/>
    <s v="Srebrny"/>
    <s v="Matowy"/>
    <s v="512 GB SSD;"/>
    <s v="8 GB"/>
    <s v="i7-7500U"/>
    <s v="2,7-3,5 Ghz"/>
    <s v="Win 10"/>
    <x v="37"/>
    <s v="Pendrive"/>
    <s v="-"/>
    <s v="S3409"/>
    <s v="F13K"/>
    <s v="Pegatron"/>
    <x v="1"/>
    <n v="40060198"/>
    <n v="3"/>
    <m/>
  </r>
  <r>
    <x v="62"/>
    <s v="-"/>
    <n v="30023830"/>
    <s v="-"/>
    <s v="Różow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63"/>
    <s v="-"/>
    <n v="30023831"/>
    <s v="-"/>
    <s v="Złot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64"/>
    <s v="-"/>
    <n v="30024116"/>
    <s v="-"/>
    <s v="Srebrny"/>
    <s v="Touch 1080p"/>
    <s v="64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65"/>
    <s v="-"/>
    <n v="30024117"/>
    <s v="-"/>
    <s v="Srebrny"/>
    <s v="Błyszczący"/>
    <s v="512 GB SSD;"/>
    <s v="8 GB"/>
    <s v="i7-7500U"/>
    <s v="2,7-3,5 Ghz"/>
    <s v="Win 10"/>
    <x v="37"/>
    <s v="Pendrive"/>
    <s v="-"/>
    <s v="S3409"/>
    <s v="F13K"/>
    <s v="Pegatron"/>
    <x v="1"/>
    <n v="40060198"/>
    <n v="3"/>
    <m/>
  </r>
  <r>
    <x v="66"/>
    <s v="-"/>
    <n v="30024118"/>
    <s v="-"/>
    <s v="Czarny"/>
    <s v="Matowy"/>
    <s v="256 GB SSD; 1 TB HDD"/>
    <s v="8 GB"/>
    <s v="i5-6300HQ"/>
    <s v="2,3 Ghz"/>
    <s v="Win 10"/>
    <x v="38"/>
    <s v="Pendrive"/>
    <s v="-"/>
    <s v="X6601"/>
    <s v="N155R01-M"/>
    <s v="Clevo"/>
    <x v="0"/>
    <n v="40060155"/>
    <n v="3"/>
    <m/>
  </r>
  <r>
    <x v="67"/>
    <s v="-"/>
    <n v="30024119"/>
    <s v="-"/>
    <s v="Srebrny"/>
    <s v="Matowy"/>
    <s v="128 GB eMMC;"/>
    <s v="4 GB"/>
    <s v="Celeron N3060"/>
    <s v="1,6-2,48 Ghz"/>
    <s v="Win 10"/>
    <x v="23"/>
    <s v="Pendrive"/>
    <s v="Obowiązkowa instrukcja ME.QA.02.528 / EC"/>
    <s v="S6219"/>
    <s v="NSBW1x02"/>
    <s v="Tongfang"/>
    <x v="0"/>
    <n v="40057145"/>
    <n v="4"/>
    <m/>
  </r>
  <r>
    <x v="68"/>
    <s v="-"/>
    <s v="30023449, 30023812, 30023813"/>
    <s v="-"/>
    <s v="Srebrny, Biały, Czarny"/>
    <s v="Touch / GLARE"/>
    <s v="64 GB eMMC;"/>
    <s v="4 GB"/>
    <s v="Atom x5-z8300"/>
    <s v="1,44-1,84 Ghz"/>
    <s v="Win 10"/>
    <x v="39"/>
    <s v="Pendrive"/>
    <s v="Magnesy w TOP CASE! Update biosu, do najwyższego Build Date."/>
    <s v="E2228T"/>
    <s v="NT16H"/>
    <s v="Emdoor"/>
    <x v="0"/>
    <s v="-"/>
    <n v="2"/>
    <m/>
  </r>
  <r>
    <x v="69"/>
    <s v="-"/>
    <n v="30023362"/>
    <s v="-"/>
    <s v="-"/>
    <s v="Touch /NON GLARE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70"/>
    <s v="-"/>
    <n v="30023165"/>
    <s v="-"/>
    <s v="-"/>
    <s v="Touch /NON GLARE"/>
    <s v="64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71"/>
    <s v="-"/>
    <n v="30024120"/>
    <s v="-"/>
    <s v="Grafitowy"/>
    <s v="Matowy"/>
    <s v="256 GB SSD; 1 TB HDD"/>
    <s v="8 GB"/>
    <s v="i5-6200U"/>
    <s v="2,3-2,8 GHz"/>
    <s v="Win 10"/>
    <x v="19"/>
    <s v="Pendrive"/>
    <s v="dwa SWM"/>
    <s v="P6669"/>
    <s v="E15S"/>
    <s v="Pegatron"/>
    <x v="0"/>
    <n v="40056401"/>
    <n v="3"/>
    <m/>
  </r>
  <r>
    <x v="72"/>
    <s v="-"/>
    <n v="30022777"/>
    <s v="-"/>
    <s v="-"/>
    <s v="Touch / NON GLARE"/>
    <s v="64 GB eMMC;"/>
    <s v="2 GB"/>
    <s v="Atom X5-Z8350"/>
    <s v="1,44 - 1,92 Ghz"/>
    <s v="Win 10"/>
    <x v="11"/>
    <s v="Pendrive"/>
    <s v="Zamiast Recovery robimy RE-!!!"/>
    <s v="E1239T"/>
    <s v="3165 3ND "/>
    <s v="Wingman"/>
    <x v="0"/>
    <s v="-"/>
    <n v="2"/>
    <m/>
  </r>
  <r>
    <x v="73"/>
    <s v="-"/>
    <n v="30022667"/>
    <s v="-"/>
    <s v="-"/>
    <s v="Touch / NON GLARE"/>
    <s v="64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74"/>
    <s v="-"/>
    <n v="30022664"/>
    <s v="-"/>
    <s v="-"/>
    <s v="Matowy"/>
    <s v="256 GB SSD;"/>
    <s v="8 GB"/>
    <s v="i5-7200u"/>
    <s v="2,5-3,1 Ghz"/>
    <s v="Win 10"/>
    <x v="35"/>
    <s v="Pendrive64 GB"/>
    <s v="F11 lub Recovery spod Windows - wpisać powerRecover"/>
    <s v="S3409"/>
    <s v="F13K"/>
    <s v="Pegatron"/>
    <x v="1"/>
    <s v="-"/>
    <n v="3"/>
    <m/>
  </r>
  <r>
    <x v="75"/>
    <s v="-"/>
    <n v="30022663"/>
    <s v="-"/>
    <s v="-"/>
    <s v="Matowy"/>
    <s v="32 GB eMMC; 500 GB HDD"/>
    <s v="4 GB"/>
    <s v="Celeron N3060"/>
    <s v="1,6-2,48 Ghz"/>
    <s v="Win 10"/>
    <x v="9"/>
    <s v="Pendrive"/>
    <s v="Nowe MB magą się nie włączać dopóki nie poklika się kila razy we włącznik."/>
    <s v="S6219"/>
    <s v="NSBW1x02"/>
    <s v="Tongfang"/>
    <x v="0"/>
    <s v="-"/>
    <n v="4"/>
    <m/>
  </r>
  <r>
    <x v="76"/>
    <s v="-"/>
    <n v="30024275"/>
    <s v="-"/>
    <s v="Srebrny"/>
    <s v="Matowy"/>
    <s v="128 GB SSD; 500 GB HDD"/>
    <s v="4 GB"/>
    <s v="Pentium 3710U"/>
    <s v="1,6-2,56 Ghz"/>
    <s v="Win 10"/>
    <x v="23"/>
    <s v="Pendrive"/>
    <s v="Obowiązkowa instrukcja ME.QA.02.528 / EC"/>
    <s v="S6219"/>
    <s v="NSBW1x02"/>
    <s v="Tongfang"/>
    <x v="0"/>
    <s v="-"/>
    <n v="4"/>
    <m/>
  </r>
  <r>
    <x v="77"/>
    <s v="-"/>
    <n v="30024121"/>
    <s v="-"/>
    <s v="Srebrny"/>
    <s v="Matowy"/>
    <s v=";500 GB HDD"/>
    <s v="4 GB"/>
    <s v="Celeron 3855U"/>
    <s v="1,6 Ghz"/>
    <s v="Win 10"/>
    <x v="8"/>
    <s v="Pendrive"/>
    <s v="-"/>
    <s v="E7419"/>
    <s v="D17S"/>
    <s v="Pegatron"/>
    <x v="1"/>
    <n v="40056401"/>
    <n v="3"/>
    <m/>
  </r>
  <r>
    <x v="78"/>
    <s v="-"/>
    <n v="30024122"/>
    <s v="-"/>
    <s v="Czarny, gumowany"/>
    <s v="Matowy"/>
    <s v="256 GB SSD;"/>
    <s v="8 GB"/>
    <s v="i5-7200u"/>
    <s v="2,5-3,1 Ghz"/>
    <s v="Win 10"/>
    <x v="40"/>
    <s v="Pendrive"/>
    <s v="tp firmware, sponge/ poron"/>
    <s v="P6679 "/>
    <s v="D15K"/>
    <s v="Pegatron"/>
    <x v="1"/>
    <s v="-"/>
    <n v="3"/>
    <m/>
  </r>
  <r>
    <x v="79"/>
    <s v="-"/>
    <n v="30024060"/>
    <s v="-"/>
    <s v="Czarny, gumowany"/>
    <s v="Matowy"/>
    <s v="256 GB SSD;"/>
    <s v="8 GB"/>
    <s v="i5-7200u"/>
    <s v="2,5-3,1 Ghz"/>
    <s v="Win 10"/>
    <x v="40"/>
    <s v="Pendrive"/>
    <s v="tp firmware, sponge/ poron"/>
    <s v="P6679"/>
    <s v="D15K"/>
    <s v="Pegatron"/>
    <x v="1"/>
    <n v="40059588"/>
    <n v="3"/>
    <m/>
  </r>
  <r>
    <x v="80"/>
    <s v="-"/>
    <n v="30024123"/>
    <s v="-"/>
    <s v="Czarny"/>
    <s v="Matowy"/>
    <s v="128 GB eMMC;"/>
    <s v="4 GB"/>
    <s v="Celeron N3060"/>
    <s v="1,6-2,48 Ghz"/>
    <s v="Win 10"/>
    <x v="41"/>
    <s v="Pendrive"/>
    <s v="Obowiązkowa instrukcja ME.QA.02.528 / EC"/>
    <s v="S6219"/>
    <s v="NSBW1x02"/>
    <s v="Tongfang"/>
    <x v="0"/>
    <n v="40057145"/>
    <n v="4"/>
    <m/>
  </r>
  <r>
    <x v="81"/>
    <s v="-"/>
    <s v="30023578, 30024592 (NL)"/>
    <s v="-"/>
    <s v="Biał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n v="40058940"/>
    <n v="2"/>
    <m/>
  </r>
  <r>
    <x v="82"/>
    <s v="-"/>
    <n v="30024124"/>
    <s v="-"/>
    <s v="Grafitowy"/>
    <s v="Matowy"/>
    <s v="256 GB SSD; 2 TB HDD"/>
    <s v="16 GB"/>
    <s v="i7-7500U"/>
    <s v="2,7-3,5 Ghz"/>
    <s v="Win 10"/>
    <x v="42"/>
    <s v="Pendrive"/>
    <s v="tp firmware"/>
    <s v="P6677"/>
    <s v="E15K"/>
    <s v="Pegatron"/>
    <x v="0"/>
    <n v="40061308"/>
    <n v="3"/>
    <m/>
  </r>
  <r>
    <x v="83"/>
    <s v="-"/>
    <n v="30024125"/>
    <s v="-"/>
    <s v="Różow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84"/>
    <s v="-"/>
    <n v="30024126"/>
    <s v="-"/>
    <s v="Czarny"/>
    <s v="Matowy"/>
    <s v="512 GB SSD; 1,5 TB HDD"/>
    <s v="16 GB"/>
    <s v="i7-6700HQ "/>
    <s v="2,6-3,5 "/>
    <s v="Win 10"/>
    <x v="38"/>
    <s v="Pendrive"/>
    <s v="-"/>
    <s v="X6601 "/>
    <s v="-"/>
    <s v="Clevo"/>
    <x v="0"/>
    <s v="-"/>
    <n v="3"/>
    <m/>
  </r>
  <r>
    <x v="85"/>
    <s v="-"/>
    <n v="30024061"/>
    <s v="-"/>
    <s v="Grafitowy"/>
    <s v="Touch"/>
    <s v="128 GB SSD;"/>
    <s v="8 GB"/>
    <s v="m5-6Y54"/>
    <s v="1,1-2,7 Ghz"/>
    <s v="Win 10"/>
    <x v="43"/>
    <s v="Pendrive64 GB"/>
    <s v="doczepiana klawiatura, ustawić kolejność botowania w bios"/>
    <s v="P3401T"/>
    <s v="3ND"/>
    <s v="Wingman"/>
    <x v="0"/>
    <s v="-"/>
    <n v="4"/>
    <m/>
  </r>
  <r>
    <x v="86"/>
    <s v="-"/>
    <n v="30023686"/>
    <s v="-"/>
    <s v="-"/>
    <s v="Matowy"/>
    <s v=";1 TB HDD"/>
    <s v="4 GB"/>
    <s v="Pentium 4405U"/>
    <s v="2,10 GHz"/>
    <s v="Win 10"/>
    <x v="44"/>
    <s v="Pendrive"/>
    <s v="-"/>
    <s v="E6430"/>
    <s v="E15S"/>
    <s v="Pegatron"/>
    <x v="0"/>
    <s v="-"/>
    <n v="3"/>
    <m/>
  </r>
  <r>
    <x v="87"/>
    <s v="-"/>
    <n v="30024276"/>
    <s v="-"/>
    <s v="Biał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x v="0"/>
    <s v="-"/>
    <n v="2"/>
    <m/>
  </r>
  <r>
    <x v="88"/>
    <s v="-"/>
    <n v="30024127"/>
    <s v="-"/>
    <s v="Srebrny"/>
    <s v="Matowy 1080p"/>
    <s v="256 GB SSD;"/>
    <s v="4 GB"/>
    <s v="i5-7200u"/>
    <s v="2,5-3,1 Ghz"/>
    <s v="Win 10"/>
    <x v="45"/>
    <s v="Pendrive"/>
    <s v="-"/>
    <s v="S3409"/>
    <s v="F13K"/>
    <s v="Pegatron"/>
    <x v="1"/>
    <s v="-"/>
    <n v="3"/>
    <m/>
  </r>
  <r>
    <x v="89"/>
    <s v="-"/>
    <n v="30024128"/>
    <s v="-"/>
    <s v="Grafitowy"/>
    <s v="Matowy"/>
    <s v="128 GB SSD; 1 TB HDD"/>
    <s v="8 GB"/>
    <s v="i7-7500U"/>
    <s v="2,7-3,5 Ghz"/>
    <s v="Win 10"/>
    <x v="42"/>
    <s v="Pendrive"/>
    <s v="tp firmware, wypięta taśma od IO board"/>
    <s v="P6677"/>
    <s v="E15K"/>
    <s v="Pegatron"/>
    <x v="0"/>
    <n v="40056401"/>
    <n v="3"/>
    <m/>
  </r>
  <r>
    <x v="90"/>
    <s v="-"/>
    <n v="30024129"/>
    <s v="-"/>
    <s v="Grafitowy"/>
    <s v="Matowy"/>
    <s v=";1 TB HDD"/>
    <s v="8 GB"/>
    <s v="i5-7200u"/>
    <s v="2,5-3,1 Ghz"/>
    <s v="Win 10"/>
    <x v="42"/>
    <s v="Pendrive"/>
    <s v="tp firmware"/>
    <s v="P6677"/>
    <s v="E15K"/>
    <s v="Pegatron"/>
    <x v="0"/>
    <n v="40056401"/>
    <n v="3"/>
    <m/>
  </r>
  <r>
    <x v="91"/>
    <s v="-"/>
    <n v="30024130"/>
    <s v="-"/>
    <s v="Czarny, gumowany"/>
    <s v="Matowy"/>
    <s v=";1 TB HDD"/>
    <s v="8 GB"/>
    <s v="i5-7200u"/>
    <s v="2,5-3,1 Ghz"/>
    <s v="Win 10"/>
    <x v="46"/>
    <s v="Pendrive"/>
    <s v="tp firmware"/>
    <s v="P7647"/>
    <s v="D17K"/>
    <s v="Pegatron"/>
    <x v="1"/>
    <n v="40059588"/>
    <n v="3"/>
    <m/>
  </r>
  <r>
    <x v="92"/>
    <s v="-"/>
    <n v="30024131"/>
    <s v="-"/>
    <s v="Czarny, gumowany"/>
    <s v="Matowy"/>
    <s v="256 GB SSD; 1,5 TB HDD "/>
    <s v="16 GB"/>
    <s v="i7-7500U"/>
    <s v="2,7-3,5 Ghz"/>
    <s v="Win 10"/>
    <x v="46"/>
    <s v="Pendrive"/>
    <s v="tp firmware"/>
    <s v="P7647"/>
    <s v="D17K"/>
    <s v="Pegatron"/>
    <x v="1"/>
    <n v="40059588"/>
    <n v="3"/>
    <m/>
  </r>
  <r>
    <x v="93"/>
    <s v="-"/>
    <n v="30024132"/>
    <s v="-"/>
    <s v="Grafitowy"/>
    <s v="Matowy"/>
    <s v="256 GB SSD;"/>
    <s v="8 GB"/>
    <s v="i5-7200u"/>
    <s v="2,5-3,1 Ghz"/>
    <s v="Win 10"/>
    <x v="47"/>
    <s v="Pendrive"/>
    <s v="tp firmware"/>
    <s v="P7645"/>
    <s v="D17K"/>
    <s v="Pegatron"/>
    <x v="1"/>
    <n v="40057143"/>
    <n v="3"/>
    <m/>
  </r>
  <r>
    <x v="94"/>
    <s v="-"/>
    <n v="30023904"/>
    <s v="-"/>
    <s v="Grafitowy"/>
    <s v="Matowy"/>
    <s v="128 GB SSD; 1,5 TB HDD"/>
    <s v="8 GB"/>
    <s v="i7-7500U"/>
    <s v="2,7-3,5 Ghz"/>
    <s v="Win 10"/>
    <x v="48"/>
    <s v="Pendrive"/>
    <s v="Touchpad firmware"/>
    <s v="P7645"/>
    <s v="D17K"/>
    <s v="Pegatron"/>
    <x v="1"/>
    <s v="-"/>
    <n v="3"/>
    <m/>
  </r>
  <r>
    <x v="95"/>
    <s v="-"/>
    <n v="30023687"/>
    <s v="-"/>
    <s v="-"/>
    <s v="Matowy"/>
    <s v="128 GB SSD; 1 TB HDD"/>
    <s v="8 GB"/>
    <s v="i5-7200u"/>
    <s v="2,5-3,1 Ghz"/>
    <s v="Win 10"/>
    <x v="49"/>
    <s v="Pednrive"/>
    <s v="Bios spod EFI. Pliki EFI u lidera. (E15K)  Touchpad firmaware"/>
    <s v="E6435"/>
    <s v="E15K"/>
    <s v="Pegatron"/>
    <x v="0"/>
    <s v="-"/>
    <n v="3"/>
    <m/>
  </r>
  <r>
    <x v="96"/>
    <s v="-"/>
    <n v="30024043"/>
    <s v="-"/>
    <s v="Srebrny"/>
    <s v="Matowy"/>
    <s v="256 GB SSD;"/>
    <s v="8 GB"/>
    <s v="i5-7200u"/>
    <s v="2,5-3,1 Ghz"/>
    <s v="Win 10"/>
    <x v="50"/>
    <s v="Pendrive"/>
    <s v="tp firmware, wypięta taśma od IO board"/>
    <s v="E6435"/>
    <s v="E15K"/>
    <s v="Pegatron"/>
    <x v="0"/>
    <s v="-"/>
    <n v="3"/>
    <m/>
  </r>
  <r>
    <x v="97"/>
    <s v="-"/>
    <n v="30024133"/>
    <s v="-"/>
    <s v="Srebrny"/>
    <s v="Matowy"/>
    <s v=";1 TB HDD"/>
    <s v="4 GB"/>
    <s v="Pentium 3825U"/>
    <s v="1,9 Ghz"/>
    <s v="Win 10"/>
    <x v="31"/>
    <s v="Pendrive"/>
    <s v="sponge/ poron"/>
    <s v="E6416"/>
    <s v="D15D"/>
    <s v="Pegatron"/>
    <x v="1"/>
    <s v="-"/>
    <n v="3"/>
    <m/>
  </r>
  <r>
    <x v="98"/>
    <s v="-"/>
    <n v="30023905"/>
    <s v="-"/>
    <s v="Srebrny"/>
    <s v="Matowy"/>
    <s v="256 GB SSD; 1 TB HDD"/>
    <s v="8 GB"/>
    <s v="i3-7100U"/>
    <s v="2,4 Ghz"/>
    <s v="Win 10"/>
    <x v="51"/>
    <s v="Pendrive"/>
    <s v="Touchpad firmware"/>
    <s v="E7424"/>
    <s v="D17K"/>
    <s v="Pegatron"/>
    <x v="1"/>
    <s v="-"/>
    <n v="3"/>
    <m/>
  </r>
  <r>
    <x v="99"/>
    <s v="-"/>
    <n v="30024134"/>
    <s v="-"/>
    <s v="Czarny, gumowany"/>
    <s v="Matowy"/>
    <s v="256 GB SSD;"/>
    <s v="8 GB"/>
    <s v="i5-7200u"/>
    <s v="2,5-3,1 Ghz"/>
    <s v="Win 10"/>
    <x v="40"/>
    <s v="Pendrive"/>
    <s v="sponge/ poron"/>
    <s v="P6679"/>
    <s v="D15K"/>
    <s v="Pegatron"/>
    <x v="1"/>
    <s v="-"/>
    <n v="3"/>
    <m/>
  </r>
  <r>
    <x v="100"/>
    <s v="-"/>
    <n v="30024135"/>
    <s v="-"/>
    <s v="Czarny, gumowany"/>
    <s v="Matowy"/>
    <s v="256 GB SSD;"/>
    <s v="12 GB"/>
    <s v="i7-6500U"/>
    <s v="2,5-3,1 Ghz"/>
    <s v="-"/>
    <x v="22"/>
    <s v="LIVE Pendrive"/>
    <s v="sponge/ poron"/>
    <s v="P6661"/>
    <s v="D15S"/>
    <s v="Pegatron"/>
    <x v="1"/>
    <n v="40057142"/>
    <n v="3"/>
    <m/>
  </r>
  <r>
    <x v="101"/>
    <s v="-"/>
    <n v="30023448"/>
    <s v="-"/>
    <s v="-"/>
    <s v="Matowy"/>
    <s v="256 GB SSD;"/>
    <s v="16 GB"/>
    <s v="i5-6200U"/>
    <s v="2,3-2,8 GHz"/>
    <s v="Win 10"/>
    <x v="20"/>
    <s v="Pendrive"/>
    <s v="sponge/ poron"/>
    <s v="P6661"/>
    <s v="D15S"/>
    <s v="Pegatron"/>
    <x v="1"/>
    <s v="-"/>
    <n v="3"/>
    <m/>
  </r>
  <r>
    <x v="102"/>
    <s v="-"/>
    <n v="30024136"/>
    <s v="-"/>
    <s v="Grafitowy"/>
    <s v="Matowy"/>
    <s v="512 GB SSD; 1,5 TB HDD"/>
    <s v="16 GB"/>
    <s v="i7-6500U"/>
    <s v="2,5-3,1 Ghz"/>
    <s v="Win 10"/>
    <x v="52"/>
    <s v="Pendrive"/>
    <s v="-"/>
    <s v="P6669"/>
    <s v="E15S"/>
    <s v="Pegatron"/>
    <x v="0"/>
    <n v="40056401"/>
    <n v="3"/>
    <m/>
  </r>
  <r>
    <x v="103"/>
    <s v="-"/>
    <n v="30024137"/>
    <s v="-"/>
    <s v="Czarny, gumowany"/>
    <s v="Matowy"/>
    <s v="256 GB SSD; 1 TB HDD"/>
    <s v="8 GB"/>
    <s v="i5-6200U"/>
    <s v="2,3-2,8 GHz"/>
    <s v="Win 10"/>
    <x v="20"/>
    <s v="Pendrive"/>
    <s v="-"/>
    <s v="P7643"/>
    <s v="D17S"/>
    <s v="Pegatron"/>
    <x v="1"/>
    <n v="40059588"/>
    <n v="3"/>
    <m/>
  </r>
  <r>
    <x v="104"/>
    <s v="-"/>
    <n v="30023832"/>
    <s v="-"/>
    <s v="Grafitowy"/>
    <s v="Matowy"/>
    <s v="128 GB SSD; 1 TB HDD"/>
    <s v="6 GB"/>
    <s v="i5-6200U"/>
    <s v="2,3-2,8 GHz"/>
    <s v="Win 10"/>
    <x v="52"/>
    <s v="Pendrive"/>
    <s v="-"/>
    <s v="P6670"/>
    <s v="E15S"/>
    <s v="Pegatron"/>
    <x v="0"/>
    <s v="-"/>
    <n v="3"/>
    <m/>
  </r>
  <r>
    <x v="105"/>
    <s v="-"/>
    <n v="30024138"/>
    <s v="-"/>
    <s v="Srebrny"/>
    <s v="Matowy"/>
    <s v="128 GB SSD; 1 TB HDD"/>
    <s v="8 GB"/>
    <s v="i5-6200U"/>
    <s v="2,3-2,8 GHz"/>
    <s v="Win 10"/>
    <x v="53"/>
    <s v="Pendrive"/>
    <s v="sponge/ poron"/>
    <s v="E6422"/>
    <s v="D15S"/>
    <s v="Pegatron"/>
    <x v="1"/>
    <n v="40059713"/>
    <n v="3"/>
    <m/>
  </r>
  <r>
    <x v="106"/>
    <s v="-"/>
    <n v="30024139"/>
    <s v="-"/>
    <s v="Srebrny"/>
    <s v="Matowy"/>
    <s v="64 GB eMMC;"/>
    <s v="2 GB"/>
    <s v="Atom Z3735F"/>
    <s v="1,33-1,83 Ghz"/>
    <s v="Win 10"/>
    <x v="54"/>
    <s v="Pendrive"/>
    <s v="bateria bios"/>
    <s v="S2218"/>
    <s v="EF20"/>
    <s v="ECS"/>
    <x v="0"/>
    <s v="-"/>
    <s v="bez"/>
    <m/>
  </r>
  <r>
    <x v="107"/>
    <s v="-"/>
    <n v="30024140"/>
    <s v="-"/>
    <s v="Brązowy"/>
    <s v="Matowy"/>
    <s v="256 GB SSD;"/>
    <s v="8 GB"/>
    <s v="i3-5005U"/>
    <s v="2 Ghz"/>
    <s v="Win 10"/>
    <x v="30"/>
    <s v="Pendrive"/>
    <s v="sponge/ poron"/>
    <s v="E6415"/>
    <s v="D15D"/>
    <s v="Pegatron"/>
    <x v="1"/>
    <s v="-"/>
    <n v="3"/>
    <m/>
  </r>
  <r>
    <x v="108"/>
    <s v="C2015-I5N2"/>
    <n v="30023744"/>
    <n v="30022160"/>
    <s v="-"/>
    <s v="Matowy"/>
    <s v="512 GB SSD;"/>
    <s v="8 GB"/>
    <s v="i5-6200U"/>
    <s v="2,3-2,8 GHz"/>
    <s v="Win 10"/>
    <x v="6"/>
    <s v="Pendrive"/>
    <s v="KB - NL"/>
    <s v="E6425"/>
    <s v="Polo 2"/>
    <s v="ECS"/>
    <x v="0"/>
    <s v="-"/>
    <s v="-"/>
    <m/>
  </r>
  <r>
    <x v="109"/>
    <s v="-"/>
    <n v="30023579"/>
    <s v="-"/>
    <s v="-"/>
    <s v="Matowy"/>
    <s v="256 GB SSD;"/>
    <s v="8 GB"/>
    <s v="i5-7200u"/>
    <s v="2,5-3,1 Ghz"/>
    <s v="Win 10"/>
    <x v="35"/>
    <s v="Pendrive 64 GB"/>
    <s v="Shipping mode (F13K)"/>
    <s v="S3409"/>
    <s v="F13K"/>
    <s v="Pegatron"/>
    <x v="1"/>
    <s v="-"/>
    <n v="3"/>
    <m/>
  </r>
  <r>
    <x v="110"/>
    <s v="-"/>
    <n v="30024141"/>
    <s v="-"/>
    <s v="Srebrny"/>
    <s v="Matowy"/>
    <s v="512 GB SSD;"/>
    <s v="8 GB"/>
    <s v="i7-7500U"/>
    <s v="2,7-3,5 Ghz"/>
    <s v="Win 10"/>
    <x v="35"/>
    <s v="Pendrive"/>
    <s v="-"/>
    <s v="S3409"/>
    <s v="F13K"/>
    <s v="Pegatron"/>
    <x v="1"/>
    <s v="-"/>
    <n v="3"/>
    <m/>
  </r>
  <r>
    <x v="111"/>
    <s v="-"/>
    <n v="30023590"/>
    <s v="-"/>
    <s v="Czarny"/>
    <s v="Touch 720p"/>
    <s v="128 GB eMMC;"/>
    <s v="4 GB"/>
    <s v="Atom X5-Z8350"/>
    <s v="1,44 - 1,92 Ghz"/>
    <s v="Win 10"/>
    <x v="55"/>
    <s v="Pendrive"/>
    <s v="Magnesy w TOP CASE! Update biosu, do najwyższego Build Date."/>
    <s v="E2221T"/>
    <s v="NT16H"/>
    <s v="Emdoor"/>
    <x v="0"/>
    <s v="-"/>
    <n v="2"/>
    <m/>
  </r>
  <r>
    <x v="112"/>
    <s v="-"/>
    <n v="30023688"/>
    <s v="-"/>
    <s v="-"/>
    <s v="Touch"/>
    <s v="128 GB eMMC;"/>
    <s v="2 GB"/>
    <s v="Atom X5-Z8350"/>
    <s v="1,44 - 1,92 Ghz"/>
    <s v="Win 10 x32"/>
    <x v="56"/>
    <s v="Pendrive"/>
    <s v="Re (Wingman)"/>
    <s v="E1239T"/>
    <s v="3165 3ND"/>
    <s v="Wingman"/>
    <x v="0"/>
    <s v="-"/>
    <n v="2"/>
    <m/>
  </r>
  <r>
    <x v="113"/>
    <s v="-"/>
    <n v="30024044"/>
    <s v="-"/>
    <s v="Czarny, gumowany"/>
    <s v="Matowy"/>
    <s v="512 GB SSD;"/>
    <s v="16 GB"/>
    <s v="i7-7500U"/>
    <s v="2,7-3,5 Ghz"/>
    <s v="Win 10"/>
    <x v="57"/>
    <s v="Pendrive"/>
    <s v="tp firmware"/>
    <s v="P7647"/>
    <s v="D17K"/>
    <s v="Pegatron"/>
    <x v="1"/>
    <s v="-"/>
    <n v="3"/>
    <m/>
  </r>
  <r>
    <x v="114"/>
    <s v="-"/>
    <n v="30024062"/>
    <s v="-"/>
    <s v="Grafitowy"/>
    <s v="Matowy"/>
    <s v="256 GB SSD;"/>
    <s v="8 GB"/>
    <s v="i5-7200u"/>
    <s v="2,5-3,1 Ghz"/>
    <s v="Win 10"/>
    <x v="58"/>
    <s v="Pendrive"/>
    <s v="tp firmware"/>
    <s v="P6677"/>
    <s v="E15K"/>
    <s v="Pegatron"/>
    <x v="0"/>
    <n v="40056401"/>
    <n v="3"/>
    <m/>
  </r>
  <r>
    <x v="115"/>
    <s v="-"/>
    <n v="30024045"/>
    <s v="-"/>
    <s v="Grafitowy"/>
    <s v="Błyszczący"/>
    <s v="128 GB SSD; 1 TB HDD"/>
    <s v="8 GB"/>
    <s v="i5-7200u"/>
    <s v="2,5-3,1 Ghz"/>
    <s v="Win 10"/>
    <x v="58"/>
    <s v="Pendrive"/>
    <s v="tp firmware"/>
    <s v="P6677"/>
    <s v="E15K"/>
    <s v="Pegatron"/>
    <x v="0"/>
    <n v="40056401"/>
    <n v="3"/>
    <m/>
  </r>
  <r>
    <x v="116"/>
    <s v="-"/>
    <n v="30023906"/>
    <s v="-"/>
    <s v="Grafitowy"/>
    <s v="Matowy"/>
    <s v="256 GB SSD;"/>
    <s v="8 GB "/>
    <s v="i5-7200u"/>
    <s v="2,5-3,1 Ghz"/>
    <s v="Win 10"/>
    <x v="48"/>
    <s v="Pendrive"/>
    <s v="Touchpad firmware"/>
    <s v="P7645"/>
    <s v="D17K"/>
    <s v="Pegatron"/>
    <x v="1"/>
    <s v="-"/>
    <n v="3"/>
    <m/>
  </r>
  <r>
    <x v="117"/>
    <s v="-"/>
    <n v="30024142"/>
    <s v="-"/>
    <s v="Grafitowy"/>
    <s v="Matowy"/>
    <s v="128 GB SSD; 1 TB HDD"/>
    <s v="8 GB"/>
    <s v="i7-7500U"/>
    <s v="2,7-3,5 Ghz"/>
    <s v="Win 10"/>
    <x v="48"/>
    <s v="Pendrive"/>
    <s v="tp firmware"/>
    <s v="P7645"/>
    <s v="D17K"/>
    <s v="Pegatron"/>
    <x v="1"/>
    <n v="40059588"/>
    <n v="3"/>
    <m/>
  </r>
  <r>
    <x v="118"/>
    <s v="-"/>
    <n v="30023907"/>
    <s v="-"/>
    <s v="Srebrny"/>
    <s v="GLARE"/>
    <s v="128 GB SSD;"/>
    <s v="4 GB"/>
    <s v="Celeron N3060"/>
    <s v="1,6-2,48 Ghz"/>
    <s v="Win 10"/>
    <x v="59"/>
    <s v="Pendrive"/>
    <s v="Obowiązkowa instrukcja ME.QA.02.528 /Nowe MB magą się nie włączać dopóki nie poklika się kila razy we włącznik. EC"/>
    <s v="S6219"/>
    <s v="NSBW1x02"/>
    <s v="Tongfang"/>
    <x v="0"/>
    <s v="-"/>
    <n v="4"/>
    <m/>
  </r>
  <r>
    <x v="119"/>
    <s v="-"/>
    <n v="30023591"/>
    <s v="-"/>
    <s v="-"/>
    <s v="Matowy"/>
    <s v="64 GB eMMC; 500 GB HDD"/>
    <s v="4 GB"/>
    <s v="celeron N3160"/>
    <s v="1,6-2,24 Ghz"/>
    <s v="Win 10"/>
    <x v="59"/>
    <s v="Pendrive"/>
    <s v="Nowe MB magą się nie włączać dopóki nie poklika się kila razy we włącznik.  EC"/>
    <s v="S6219"/>
    <s v="NSBW1x02"/>
    <s v="Tongfang"/>
    <x v="0"/>
    <s v="-"/>
    <n v="4"/>
    <m/>
  </r>
  <r>
    <x v="120"/>
    <s v="-"/>
    <n v="30024143"/>
    <s v="-"/>
    <s v="Srebrny"/>
    <s v="Błyszczący"/>
    <s v=";1 TB HDD"/>
    <s v="8 GB"/>
    <s v="Pentium 4415U"/>
    <s v="2,3 Ghz"/>
    <s v="Win 10"/>
    <x v="49"/>
    <s v="Pendrive"/>
    <s v="Bios spod EFI. Pliki EFI u lidera. (E15K)  Touchpad firmaware"/>
    <s v="E6435"/>
    <s v="E15K"/>
    <s v="Pegatron"/>
    <x v="0"/>
    <n v="40059713"/>
    <n v="3"/>
    <m/>
  </r>
  <r>
    <x v="121"/>
    <s v="-"/>
    <n v="30023975"/>
    <s v="-"/>
    <s v="Srebrny"/>
    <s v="Matowy"/>
    <s v=";1 TB HDD"/>
    <s v="8 GB"/>
    <s v="Pentium 4405U"/>
    <s v="2,10 GHz"/>
    <s v="Win 10"/>
    <x v="53"/>
    <s v="Pendrive"/>
    <s v="-"/>
    <s v="E7419"/>
    <s v="D17S"/>
    <s v="Pegatron"/>
    <x v="1"/>
    <s v="-"/>
    <n v="3"/>
    <m/>
  </r>
  <r>
    <x v="122"/>
    <s v="-"/>
    <n v="30023689"/>
    <s v="-"/>
    <s v="-"/>
    <s v="Matowy"/>
    <s v="128 GB SSD; 1 TB HDD"/>
    <s v="6 GB"/>
    <s v="i5-7200u"/>
    <s v="2,5-3,1 Ghz"/>
    <s v="Win 10"/>
    <x v="25"/>
    <s v="Pendrive"/>
    <s v="Shipping mode (D17K), Touchpad firmaware."/>
    <s v="E7423"/>
    <s v="D17K"/>
    <s v="Pegatron"/>
    <x v="1"/>
    <s v="-"/>
    <n v="3"/>
    <m/>
  </r>
  <r>
    <x v="123"/>
    <s v="-"/>
    <n v="30023908"/>
    <s v="-"/>
    <s v="-"/>
    <s v="Matowy"/>
    <s v="128 GB SSD; 1 TB HDD"/>
    <s v="6 GB"/>
    <s v="i3-6157U"/>
    <s v="2,4 Ghz"/>
    <s v="Win 10"/>
    <x v="18"/>
    <s v="Pendrive"/>
    <s v="Substytut SSD 256 GB"/>
    <s v="E6432"/>
    <s v="E15S"/>
    <s v="Pegatron"/>
    <x v="0"/>
    <s v="-"/>
    <n v="3"/>
    <m/>
  </r>
  <r>
    <x v="124"/>
    <s v="-"/>
    <n v="30024277"/>
    <s v="-"/>
    <s v="Czarny"/>
    <s v="Matowy"/>
    <s v="64 GB eMMC;"/>
    <s v="2 GB"/>
    <s v="Celeron N3060"/>
    <s v="1,6-2,48 Ghz"/>
    <s v="Win 10"/>
    <x v="60"/>
    <s v="Pendrive"/>
    <s v="-"/>
    <s v="E2213"/>
    <s v="SF20"/>
    <s v="ECS"/>
    <x v="0"/>
    <s v="-"/>
    <n v="4"/>
    <m/>
  </r>
  <r>
    <x v="125"/>
    <s v="-"/>
    <n v="30024047"/>
    <s v="-"/>
    <s v="Brązowy"/>
    <s v="Matowy"/>
    <s v="256 GB SSD;"/>
    <s v="8 GB"/>
    <s v="i3-5005U"/>
    <s v="2 Ghz"/>
    <s v="Win 10"/>
    <x v="61"/>
    <s v="Pendrive"/>
    <s v="-"/>
    <s v="P7637"/>
    <s v="D17D"/>
    <s v="Pegatron"/>
    <x v="1"/>
    <s v="-"/>
    <n v="3"/>
    <m/>
  </r>
  <r>
    <x v="126"/>
    <s v="-"/>
    <n v="30023909"/>
    <s v="-"/>
    <s v="Czarny"/>
    <s v="Touch"/>
    <s v="64 GB eMMC;"/>
    <s v="2 GB"/>
    <s v="Atom X5-Z8350"/>
    <s v="1,44 - 1,92 Ghz"/>
    <s v="Win 10"/>
    <x v="62"/>
    <s v="Pendive  64 GB"/>
    <s v="Magnesy w TOP CASE! Update biosu, do najwyższego Build Date."/>
    <s v="E2221T"/>
    <s v="NT16H"/>
    <s v="Emdoor"/>
    <x v="0"/>
    <s v="-"/>
    <n v="2"/>
    <m/>
  </r>
  <r>
    <x v="127"/>
    <s v="-"/>
    <n v="30024144"/>
    <s v="-"/>
    <s v="Czarny"/>
    <s v="Touch"/>
    <s v="64 GB eMMC;"/>
    <s v="2 GB"/>
    <s v="Atom x5-z8300"/>
    <s v="1,44-1,84 Ghz"/>
    <s v="Win 10"/>
    <x v="63"/>
    <s v="Pendrive"/>
    <s v="Magnesy w TOP CASE! Update biosu, do najwyższego Build Date."/>
    <s v="E2227T"/>
    <s v=" NT16H"/>
    <s v="Emdoor"/>
    <x v="0"/>
    <n v="40058940"/>
    <n v="2"/>
    <m/>
  </r>
  <r>
    <x v="128"/>
    <s v="-"/>
    <n v="30024278"/>
    <s v="-"/>
    <s v="Czarny"/>
    <s v="Touch"/>
    <s v="128 GB SSD;"/>
    <s v="8 GB"/>
    <s v="m5-6Y54"/>
    <s v="1,1-2,7 Ghz"/>
    <s v="Win 10"/>
    <x v="64"/>
    <s v="Pendrive"/>
    <s v="klawiatura doczepiana"/>
    <s v="-"/>
    <s v="-"/>
    <s v="-"/>
    <x v="0"/>
    <s v="-"/>
    <n v="4"/>
    <m/>
  </r>
  <r>
    <x v="129"/>
    <s v="-"/>
    <n v="30024042"/>
    <s v="-"/>
    <s v="Biały"/>
    <s v="Błyszczący"/>
    <s v="256 GB SSD;"/>
    <s v="8 GB"/>
    <s v="i3-6006U"/>
    <s v="2 Ghz"/>
    <s v="Win 10"/>
    <x v="65"/>
    <s v="Pendrive"/>
    <s v="EC"/>
    <s v="S6421"/>
    <s v="NSSL1502"/>
    <s v="Tongfang"/>
    <x v="0"/>
    <n v="40057145"/>
    <n v="4"/>
    <m/>
  </r>
  <r>
    <x v="130"/>
    <s v="-"/>
    <n v="30024345"/>
    <s v="-"/>
    <s v="Biały"/>
    <s v="Matowy"/>
    <s v="512 GB SSD;"/>
    <s v="8 GB"/>
    <s v="i5-6200U"/>
    <s v="2,3-2,8 GHz"/>
    <s v="Win 10"/>
    <x v="65"/>
    <s v="Pendrive"/>
    <s v="EC"/>
    <s v="S6421"/>
    <s v="NSSL1502"/>
    <s v="Tongfang"/>
    <x v="0"/>
    <s v="-"/>
    <n v="4"/>
    <m/>
  </r>
  <r>
    <x v="131"/>
    <s v="-"/>
    <n v="30024290"/>
    <s v="-"/>
    <s v="Srebrny"/>
    <s v="Matowy"/>
    <s v="128 GB SSD; 1,5 TB HDD"/>
    <s v="8 GB"/>
    <s v="i3-7100U"/>
    <s v="2,4 Ghz"/>
    <s v="Win 10"/>
    <x v="66"/>
    <s v="Pendrive"/>
    <s v="tp firmware"/>
    <s v="E6436 "/>
    <s v="E15K"/>
    <s v="Pegatron"/>
    <x v="0"/>
    <n v="40059713"/>
    <n v="3"/>
    <m/>
  </r>
  <r>
    <x v="132"/>
    <s v="-"/>
    <n v="30024146"/>
    <s v="-"/>
    <s v="Srebrny"/>
    <s v="Matowy"/>
    <s v="128 GB SSD; 1,5 TB HDD"/>
    <s v="8 GB"/>
    <s v="i7-6567U"/>
    <s v="3,3 Ghz"/>
    <s v="Win 10"/>
    <x v="18"/>
    <s v="Pendrive"/>
    <s v="-"/>
    <s v="E6431"/>
    <s v="E15S"/>
    <s v="Pegatron"/>
    <x v="0"/>
    <n v="40056401"/>
    <n v="3"/>
    <m/>
  </r>
  <r>
    <x v="133"/>
    <s v="-"/>
    <n v="30024291"/>
    <s v="-"/>
    <s v="Biały"/>
    <s v="Matowy 1080p"/>
    <s v="128 GB eMMC;"/>
    <s v="4 GB"/>
    <s v="Celeron N3060"/>
    <s v="1,6-2,48 Ghz"/>
    <s v="Win 10"/>
    <x v="67"/>
    <s v="Pendrive"/>
    <s v="Klawiatura NL!!!   Obowiązkowa instrukcja ME.QA.02.528 / EC"/>
    <s v="S6219"/>
    <s v="NSBW1x02"/>
    <s v="Tongfang"/>
    <x v="0"/>
    <n v="40063271"/>
    <n v="4"/>
    <m/>
  </r>
  <r>
    <x v="134"/>
    <s v="-"/>
    <n v="30024147"/>
    <s v="-"/>
    <s v="Czarny, gumowany"/>
    <s v="Matowy"/>
    <s v="256 GB SSD; 1 TB HDD"/>
    <s v="8 GB"/>
    <s v="i5-7200u"/>
    <s v="2,5-3,1 Ghz"/>
    <s v="Win 10"/>
    <x v="57"/>
    <s v="Pendrive"/>
    <s v="tp firmware"/>
    <s v="P7647"/>
    <s v="D17K"/>
    <s v="Pegatron"/>
    <x v="1"/>
    <n v="40059588"/>
    <n v="3"/>
    <m/>
  </r>
  <r>
    <x v="135"/>
    <s v="-"/>
    <n v="30024148"/>
    <s v="-"/>
    <s v="Srebrny"/>
    <s v="Błyszczący"/>
    <s v="256 GB SSD;"/>
    <s v="8 GB"/>
    <s v="i5-7200u"/>
    <s v="2,5-3,1 Ghz"/>
    <s v="Win 10"/>
    <x v="35"/>
    <s v="Pendrive"/>
    <s v="-"/>
    <s v="S3409"/>
    <s v="F13K"/>
    <s v="Pegatron"/>
    <x v="1"/>
    <n v="40063262"/>
    <n v="3"/>
    <m/>
  </r>
  <r>
    <x v="136"/>
    <s v="-"/>
    <n v="30024346"/>
    <s v="-"/>
    <s v="Srebrny"/>
    <s v="Touch"/>
    <s v="64 GB eMMC;"/>
    <s v="2 GB"/>
    <s v="Atom X5-Z8350"/>
    <s v="1,44 - 1,92 Ghz"/>
    <s v="Win 10"/>
    <x v="55"/>
    <s v="Pendrive"/>
    <s v="Magnesy w TOP CASE! Update biosu, do najwyższego Build Date."/>
    <s v="E2221T"/>
    <s v="NT16H"/>
    <s v="Emdoor"/>
    <x v="0"/>
    <s v="-"/>
    <n v="2"/>
    <m/>
  </r>
  <r>
    <x v="137"/>
    <s v="-"/>
    <n v="30024292"/>
    <s v="-"/>
    <s v="Czarny"/>
    <s v="Touch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x v="0"/>
    <s v="-"/>
    <n v="2"/>
    <m/>
  </r>
  <r>
    <x v="138"/>
    <s v="-"/>
    <s v="30024347, 30024500 "/>
    <s v="-"/>
    <s v="Biały, Srebrny"/>
    <s v="Touch 720p"/>
    <s v="64 GB eMMC;"/>
    <s v="4 GB"/>
    <s v="Atom X5-Z8350"/>
    <s v="1,44 - 1,92 Ghz"/>
    <s v="Win 10"/>
    <x v="55"/>
    <s v="Pendrive"/>
    <s v="Magnesy w TOP CASE! DWA KOLORY, DWA MSN!!!   Update biosu, do najwyższego Build Date."/>
    <s v="E2221T"/>
    <s v="NT16H"/>
    <s v="Emdoor"/>
    <x v="0"/>
    <s v="-"/>
    <n v="2"/>
    <m/>
  </r>
  <r>
    <x v="139"/>
    <s v="-"/>
    <n v="30024047"/>
    <s v="-"/>
    <s v="Srebrny"/>
    <s v="Matowy"/>
    <s v=";500 GB HDD"/>
    <s v="4 GB"/>
    <s v="Celeron N3060"/>
    <s v="1,6-2,48 Ghz"/>
    <s v="Win 10"/>
    <x v="67"/>
    <s v="Pendrive64 GB"/>
    <s v="Obowiązkowa instrukcja ME.QA.02.528 / EC"/>
    <s v="S6219"/>
    <s v="NSBW1x02"/>
    <s v="Tongfang"/>
    <x v="0"/>
    <s v="-"/>
    <n v="4"/>
    <m/>
  </r>
  <r>
    <x v="140"/>
    <s v="-"/>
    <n v="30023920"/>
    <s v="-"/>
    <s v="Srebrny"/>
    <s v="Matowy"/>
    <s v=";500 GB HDD"/>
    <s v="4 GB"/>
    <s v="Pentium N3710"/>
    <s v="1,6 Ghz"/>
    <s v="Win 10"/>
    <x v="59"/>
    <s v="Pendrive"/>
    <s v="Obowiązkowa instrukcja ME.QA.02.528 /Nowe MB magą się nie włączać dopóki nie poklika się kila razy we włącznik. EC"/>
    <s v="S6219"/>
    <s v="NSBW1x02"/>
    <s v="Tongfang"/>
    <x v="0"/>
    <s v="-"/>
    <n v="4"/>
    <m/>
  </r>
  <r>
    <x v="141"/>
    <s v="-"/>
    <n v="30024149"/>
    <s v="-"/>
    <s v="Srebrny"/>
    <s v="Matowy"/>
    <s v=";500 GB HDD"/>
    <s v="4 GB"/>
    <s v="Celeron 3855U"/>
    <s v="1,6 Ghz"/>
    <s v="Win 10"/>
    <x v="53"/>
    <s v="Pendrive"/>
    <s v="SubstytutHDD 1000 GB"/>
    <s v="E7419"/>
    <s v="D17S"/>
    <s v="Pegatron"/>
    <x v="1"/>
    <n v="40056401"/>
    <n v="3"/>
    <m/>
  </r>
  <r>
    <x v="142"/>
    <s v="-"/>
    <n v="30024150"/>
    <s v="-"/>
    <s v="Srebrny"/>
    <s v="Błyszczący"/>
    <s v=";1 TB HDD"/>
    <s v="8 GB"/>
    <s v="Pentium 4415U"/>
    <s v="2,3 Ghz"/>
    <s v="Win 10"/>
    <x v="49"/>
    <s v="Pendrive"/>
    <s v="tp firmware"/>
    <s v="E6435"/>
    <s v="E15K"/>
    <s v="Pegatron"/>
    <x v="0"/>
    <n v="40059713"/>
    <n v="3"/>
    <m/>
  </r>
  <r>
    <x v="143"/>
    <s v="-"/>
    <n v="30024151"/>
    <s v="-"/>
    <s v="Biały"/>
    <s v="Matowy"/>
    <s v=";1 TB HDD"/>
    <s v="8 GB"/>
    <s v="i3-6006U"/>
    <s v="2 Ghz"/>
    <s v="Win 10"/>
    <x v="65"/>
    <s v="Pendrive"/>
    <s v="EC"/>
    <s v="S6421"/>
    <s v="NSSL1502"/>
    <s v="Tongfang"/>
    <x v="0"/>
    <s v="-"/>
    <n v="4"/>
    <m/>
  </r>
  <r>
    <x v="144"/>
    <s v="-"/>
    <n v="30024048"/>
    <s v="-"/>
    <s v="Czarny"/>
    <s v="Matowy"/>
    <s v=";1 TB HDD"/>
    <s v="8 GB"/>
    <s v="Pentium 4405U"/>
    <s v="2,10 GHz"/>
    <s v="Win 10"/>
    <x v="53"/>
    <s v="Pendrive"/>
    <s v="-"/>
    <s v="E7419"/>
    <s v="D17S"/>
    <s v="Pegatron"/>
    <x v="1"/>
    <s v="-"/>
    <n v="3"/>
    <m/>
  </r>
  <r>
    <x v="145"/>
    <s v="-"/>
    <n v="30024348"/>
    <s v="-"/>
    <s v="Grafitowy"/>
    <s v="Matowy"/>
    <s v="256 GB SSD; 1 TB HDD"/>
    <s v="8 GB"/>
    <s v="i7-7500U"/>
    <s v="2,7-3,5 Ghz"/>
    <s v="Win 10"/>
    <x v="58"/>
    <s v="Pendrive"/>
    <s v="tp firmware"/>
    <s v="P6677"/>
    <s v="E15K"/>
    <s v="Pegatron"/>
    <x v="0"/>
    <s v="-"/>
    <n v="3"/>
    <m/>
  </r>
  <r>
    <x v="146"/>
    <s v="-"/>
    <n v="30024152"/>
    <s v="-"/>
    <s v="Grafitowy"/>
    <s v="Matowy"/>
    <s v="128 GB SSD; 2 TB HDD"/>
    <s v="16 GB"/>
    <s v="i7-7500U"/>
    <s v="2,7-3,5 Ghz"/>
    <s v="Win 10"/>
    <x v="48"/>
    <s v="Pendrive"/>
    <s v="tp firmware"/>
    <s v="P7645"/>
    <s v="D17K"/>
    <s v="Pegatron"/>
    <x v="1"/>
    <n v="40056401"/>
    <n v="3"/>
    <m/>
  </r>
  <r>
    <x v="147"/>
    <s v="-"/>
    <n v="30023921"/>
    <s v="-"/>
    <s v="-"/>
    <s v="Matowy"/>
    <s v="128 GB SSD; 1,5 TB HDD"/>
    <s v="4 GB"/>
    <s v="i3-7100U"/>
    <s v="2,4 Ghz"/>
    <s v="Win 10"/>
    <x v="51"/>
    <s v="Pendrive"/>
    <s v="Touchpad firmware"/>
    <s v="E7424"/>
    <s v="D17K"/>
    <s v="Pegatron"/>
    <x v="1"/>
    <s v="-"/>
    <n v="3"/>
    <m/>
  </r>
  <r>
    <x v="148"/>
    <s v="-"/>
    <n v="30024049"/>
    <s v="-"/>
    <s v="Srebrny"/>
    <s v="Matowy"/>
    <s v="128 GB SSD; 1 TB HDD"/>
    <s v="6 GB"/>
    <s v="i3-6157U"/>
    <s v="2,4 Ghz"/>
    <s v="Win 10"/>
    <x v="18"/>
    <s v="Pendrive"/>
    <s v="-"/>
    <s v="P6432"/>
    <s v="E15S"/>
    <s v="Pegatron"/>
    <x v="0"/>
    <s v="-"/>
    <n v="3"/>
    <m/>
  </r>
  <r>
    <x v="149"/>
    <s v="-"/>
    <n v="30024293"/>
    <s v="-"/>
    <s v="Srebrny"/>
    <s v="Touch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x v="0"/>
    <s v="-"/>
    <n v="2"/>
    <m/>
  </r>
  <r>
    <x v="150"/>
    <s v="-"/>
    <s v="30024294  "/>
    <s v="-"/>
    <s v="Czarny"/>
    <s v="Touch 720p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x v="0"/>
    <s v="-"/>
    <n v="2"/>
    <m/>
  </r>
  <r>
    <x v="151"/>
    <s v="-"/>
    <n v="30024295"/>
    <s v="-"/>
    <s v="Srebrny"/>
    <s v="Touch"/>
    <s v="32 GB eMMC;"/>
    <s v="2 GB"/>
    <s v="Atom x5-z8300"/>
    <s v="1,44-1,84 Ghz"/>
    <s v="Win 10"/>
    <x v="63"/>
    <s v="Pendrive"/>
    <s v="Magnesy w TOP CASE! Update biosu, do najwyższego Build Date."/>
    <s v="E2227T"/>
    <s v="NT16H"/>
    <s v="Emdoor"/>
    <x v="0"/>
    <s v="-"/>
    <n v="2"/>
    <m/>
  </r>
  <r>
    <x v="152"/>
    <s v="-"/>
    <n v="30024296"/>
    <s v="-"/>
    <s v="Srebrny"/>
    <s v="Touch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x v="0"/>
    <s v="-"/>
    <n v="2"/>
    <m/>
  </r>
  <r>
    <x v="153"/>
    <s v="-"/>
    <n v="30024430"/>
    <s v="-"/>
    <s v="Czarny"/>
    <s v="Matowy 1080p"/>
    <s v="64 GB eMMC;"/>
    <s v="4 GB"/>
    <s v="Celeron N3060"/>
    <s v="1,6-2,48 Ghz"/>
    <s v="Win 10"/>
    <x v="68"/>
    <s v="Pendrive"/>
    <s v="EC"/>
    <s v="S4219 "/>
    <s v="NSBW1x02"/>
    <s v="Tongfang"/>
    <x v="0"/>
    <s v="-"/>
    <n v="4"/>
    <m/>
  </r>
  <r>
    <x v="154"/>
    <s v="-"/>
    <n v="30024349"/>
    <s v="-"/>
    <s v="Srebrny"/>
    <s v="Matowy"/>
    <s v="128 GB SSD; 1,5 TB HDD"/>
    <s v="4 GB"/>
    <s v="i3-7100U"/>
    <s v="2,4 Ghz"/>
    <s v="Win 10"/>
    <x v="69"/>
    <s v="Pendrive"/>
    <s v="tp firmware"/>
    <s v="E7424"/>
    <s v="D17K"/>
    <s v="Pegatron"/>
    <x v="1"/>
    <s v="-"/>
    <n v="3"/>
    <m/>
  </r>
  <r>
    <x v="155"/>
    <s v="-"/>
    <n v="30024350"/>
    <s v="-"/>
    <s v="Srebrny"/>
    <s v="Touch"/>
    <s v="64 GB eMMC;"/>
    <s v="4 GB"/>
    <s v="Celeron N3450"/>
    <s v="1,1-2,2 Ghz"/>
    <s v="Win 10"/>
    <x v="70"/>
    <s v="Pendrive"/>
    <s v="-"/>
    <s v="E3213"/>
    <s v="NT13A"/>
    <s v="Emdoor"/>
    <x v="1"/>
    <s v="-"/>
    <s v="bez"/>
    <m/>
  </r>
  <r>
    <x v="156"/>
    <s v="-"/>
    <n v="30024297"/>
    <s v="-"/>
    <s v="Srebrny"/>
    <s v="Touch"/>
    <s v="64 GB eMMC;"/>
    <s v="4 GB"/>
    <s v="Pentium N4200"/>
    <s v="1,1-2,5 Ghz"/>
    <s v="Win 10"/>
    <x v="70"/>
    <s v="Pendrive"/>
    <s v="-"/>
    <s v="E3215"/>
    <s v="NT13A"/>
    <s v="Emdoor"/>
    <x v="1"/>
    <s v="-"/>
    <s v="bez"/>
    <m/>
  </r>
  <r>
    <x v="157"/>
    <s v="-"/>
    <n v="30024153"/>
    <s v="-"/>
    <s v="Grafitowy"/>
    <s v="Matowy"/>
    <s v=";1 TB HDD"/>
    <s v="6 GB"/>
    <s v="i3-7167U "/>
    <s v="2,8 Ghz"/>
    <s v="Win 10"/>
    <x v="71"/>
    <s v="Pendrive"/>
    <s v="tp firmware"/>
    <s v="P6402 "/>
    <s v="E15K"/>
    <s v="Pegatron"/>
    <x v="0"/>
    <n v="40061308"/>
    <n v="3"/>
    <m/>
  </r>
  <r>
    <x v="158"/>
    <s v="-"/>
    <n v="30024351"/>
    <s v="-"/>
    <s v="Srebrny"/>
    <s v="Matowy"/>
    <s v=";500 GB HDD"/>
    <s v="4 GB"/>
    <s v="Celeron N3060"/>
    <s v="1,6-2,48 Ghz"/>
    <s v="Win 10"/>
    <x v="59"/>
    <s v="Pendrive"/>
    <s v="Obowiązkowa instrukcja ME.QA.02.528 / EC"/>
    <s v="S6219"/>
    <s v="NSBW1x02"/>
    <s v="Tongfang"/>
    <x v="0"/>
    <n v="40063271"/>
    <n v="4"/>
    <m/>
  </r>
  <r>
    <x v="159"/>
    <s v="-"/>
    <n v="30024352"/>
    <s v="-"/>
    <s v="Srebrny"/>
    <s v="Błyszczący 720p"/>
    <s v=";1 TB HDD"/>
    <s v="8 GB"/>
    <s v="Pentium 4405U"/>
    <s v="2,10 GHz"/>
    <s v="Win 10"/>
    <x v="72"/>
    <s v="Pendrive"/>
    <s v="-"/>
    <s v="E6429"/>
    <s v="E15S"/>
    <s v="Pegatron"/>
    <x v="0"/>
    <s v="-"/>
    <n v="3"/>
    <m/>
  </r>
  <r>
    <x v="160"/>
    <s v="-"/>
    <n v="30024353"/>
    <s v="-"/>
    <s v="Srebrny"/>
    <s v="Matowy"/>
    <s v=";1 TB HDD"/>
    <s v="8 GB"/>
    <s v="Pentium 4415U"/>
    <s v="2,3 Ghz"/>
    <s v="Win 10"/>
    <x v="51"/>
    <s v="Pendrive"/>
    <s v="tp firmware"/>
    <s v="E7423"/>
    <s v="D17K"/>
    <s v="Pegatron"/>
    <x v="1"/>
    <s v="-"/>
    <n v="3"/>
    <m/>
  </r>
  <r>
    <x v="161"/>
    <s v="-"/>
    <n v="30024298"/>
    <s v="-"/>
    <s v="Srebrny"/>
    <s v="Matowy"/>
    <s v=";500 GB HDD"/>
    <s v="4 GB"/>
    <s v="Celeron 3855U"/>
    <s v="1,6 Ghz"/>
    <s v="Win 10"/>
    <x v="73"/>
    <s v="Pendrive"/>
    <s v="-"/>
    <s v="E7419"/>
    <s v="D17S"/>
    <s v="Pegatron"/>
    <x v="1"/>
    <s v="-"/>
    <n v="3"/>
    <m/>
  </r>
  <r>
    <x v="162"/>
    <s v="-"/>
    <n v="30024354"/>
    <s v="-"/>
    <s v="Brązowy"/>
    <s v="Matowy 1080p"/>
    <s v=";1 TB HDD"/>
    <s v="8 GB"/>
    <s v=" i3-5005U"/>
    <s v="2 Ghz"/>
    <s v="Win 10"/>
    <x v="74"/>
    <s v="Pendrive"/>
    <s v="sponge/ poron"/>
    <s v="E6415"/>
    <s v="D15D"/>
    <s v="Pegatron"/>
    <x v="1"/>
    <s v="-"/>
    <n v="3"/>
    <m/>
  </r>
  <r>
    <x v="163"/>
    <s v="-"/>
    <n v="30023976"/>
    <s v="-"/>
    <s v="Grafitowy"/>
    <s v="Matowy"/>
    <s v=";500 GB HDD"/>
    <s v="4 GB"/>
    <s v="i3-7167U"/>
    <s v="2,8 Ghz"/>
    <s v="Win 10"/>
    <x v="75"/>
    <s v="Pendrive"/>
    <s v="tp firmware, img aldi"/>
    <s v="P7402"/>
    <s v="D17K"/>
    <s v="Pegatron"/>
    <x v="1"/>
    <s v="-"/>
    <n v="3"/>
    <m/>
  </r>
  <r>
    <x v="164"/>
    <s v="-"/>
    <n v="30024154"/>
    <s v="-"/>
    <s v="Srebrny"/>
    <s v="Touch"/>
    <s v="64 GB eMMC;"/>
    <s v="4 GB"/>
    <s v="Pentium N4200"/>
    <s v="1,1-2,5 Ghz"/>
    <s v="Win 10"/>
    <x v="76"/>
    <s v="Pendrive"/>
    <s v="-"/>
    <s v="E3216"/>
    <s v="NT13A"/>
    <s v="Emdoor"/>
    <x v="1"/>
    <s v="-"/>
    <s v="bez"/>
    <m/>
  </r>
  <r>
    <x v="165"/>
    <s v="-"/>
    <n v="30024419"/>
    <s v="-"/>
    <s v="Srebrny"/>
    <s v="Touch 1080p"/>
    <s v="64 GB eMMC;"/>
    <s v="4 GB"/>
    <s v="Atom x5-z8300"/>
    <s v="1,44-1,84 Ghz"/>
    <s v="Win 10"/>
    <x v="39"/>
    <s v="Pendrive"/>
    <s v="Magnesy w TOP CASE! Update biosu, do najwyższego Build Date."/>
    <s v="E2227T"/>
    <s v="NT16H"/>
    <s v="Emdoor"/>
    <x v="0"/>
    <s v="-"/>
    <n v="2"/>
    <m/>
  </r>
  <r>
    <x v="166"/>
    <s v="-"/>
    <n v="30024418"/>
    <s v="-"/>
    <s v="Srebrny"/>
    <s v="Matowy 1080p"/>
    <s v="128 GB SSD; 1,5 TB HDD"/>
    <s v="6 GB"/>
    <s v="i3-6100U"/>
    <s v="2,3 Ghz"/>
    <s v="Win 10"/>
    <x v="77"/>
    <s v="Pendrive"/>
    <s v="-"/>
    <s v="E6430"/>
    <s v="E15S"/>
    <s v="Pegatron"/>
    <x v="0"/>
    <s v="-"/>
    <n v="3"/>
    <m/>
  </r>
  <r>
    <x v="167"/>
    <s v="-"/>
    <n v="30024417"/>
    <s v="-"/>
    <s v="Srebrny"/>
    <s v="Matowy 1080p"/>
    <s v="128 GB eMMC; 1 TB HDD"/>
    <s v="4 GB"/>
    <s v="i5-7200u"/>
    <s v="2,5-3,1 Ghz"/>
    <s v="Win 10"/>
    <x v="78"/>
    <s v="Pendrive"/>
    <s v="tp firmware"/>
    <s v="E6436 "/>
    <s v="E15K"/>
    <s v="Pegatron"/>
    <x v="0"/>
    <s v="-"/>
    <n v="3"/>
    <m/>
  </r>
  <r>
    <x v="168"/>
    <s v="-"/>
    <n v="30024416"/>
    <s v="-"/>
    <s v="Srebrny"/>
    <s v="Touch 1080p"/>
    <s v="64 GB eMMC;"/>
    <s v="4 GB"/>
    <s v="Atom X5-Z8350"/>
    <s v="1,44 - 1,92 Ghz"/>
    <s v="Win 10"/>
    <x v="63"/>
    <s v="Pendrive"/>
    <s v="Magnesy w TOP CASE! Update biosu, do najwyższego Build Date. Zapieczętować można tylko 4 razy, potem potrzeba zrobić recovery."/>
    <s v="E2228T"/>
    <s v="NT16H"/>
    <s v="Emdoor"/>
    <x v="0"/>
    <s v="-"/>
    <n v="2"/>
    <m/>
  </r>
  <r>
    <x v="169"/>
    <s v="-"/>
    <n v="30024415"/>
    <s v="-"/>
    <s v="Srebrny"/>
    <s v="Touch 1080p"/>
    <s v="64 GB eMMC;"/>
    <s v="4 GB"/>
    <s v="Pentium N4200"/>
    <s v="1,1-2,5 Ghz"/>
    <s v="Win 10"/>
    <x v="79"/>
    <s v="Pendrive"/>
    <s v="-"/>
    <s v="E3216"/>
    <s v="NT13A"/>
    <s v="Emdoor"/>
    <x v="1"/>
    <s v="-"/>
    <s v="bez"/>
    <m/>
  </r>
  <r>
    <x v="170"/>
    <s v="-"/>
    <n v="30024414"/>
    <s v="-"/>
    <s v="Srebrny"/>
    <s v="Touch 1080p"/>
    <s v="32 GB eMMC;"/>
    <s v="2 GB"/>
    <s v="Atom X5-Z8350"/>
    <s v="1,44 - 1,92 Ghz"/>
    <s v="Win 10"/>
    <x v="63"/>
    <s v="Pendrive"/>
    <s v="Magnesy w TOP CASE! Update biosu, do najwyższego Build Date. Zapieczętować można tylko 4 razy, potem potrzeba zrobić recovery."/>
    <s v="E2228T"/>
    <s v="NT16H"/>
    <s v="Emdoor"/>
    <x v="0"/>
    <s v="-"/>
    <n v="2"/>
    <m/>
  </r>
  <r>
    <x v="171"/>
    <s v="-"/>
    <n v="30024413"/>
    <s v="-"/>
    <s v="Srebrny"/>
    <s v="Matowy 1080p"/>
    <s v="128 GB SSD; 500 GB HDD"/>
    <s v="4 GB"/>
    <s v="i3-7100U"/>
    <s v="2,4 Ghz"/>
    <s v="Win 10"/>
    <x v="80"/>
    <s v="Pendrive"/>
    <s v="tp firmware"/>
    <s v="E7424"/>
    <s v="D17K"/>
    <s v="Pegatron"/>
    <x v="1"/>
    <s v="-"/>
    <n v="3"/>
    <m/>
  </r>
  <r>
    <x v="172"/>
    <s v="-"/>
    <n v="30024412"/>
    <s v="-"/>
    <s v="Srebrny"/>
    <s v="Touch 1080p"/>
    <s v="64 GB eMMC;"/>
    <s v="4 GB"/>
    <s v="Celeron N3450"/>
    <s v="1,1-2,2 Ghz"/>
    <s v="Win 10"/>
    <x v="76"/>
    <s v="Pendrive"/>
    <s v="-"/>
    <s v="E3214"/>
    <s v="NT13A"/>
    <s v="Emdoor"/>
    <x v="1"/>
    <s v="-"/>
    <s v="bez"/>
    <m/>
  </r>
  <r>
    <x v="173"/>
    <s v="-"/>
    <n v="30020798"/>
    <s v="-"/>
    <s v="-"/>
    <s v="Touch / NON GLARE"/>
    <s v=";500 GB HDD"/>
    <s v="2 GB"/>
    <s v="AMD Temash A4-1200 "/>
    <s v="1,00 GHz"/>
    <s v="Win 8.1"/>
    <x v="81"/>
    <s v="HDD"/>
    <s v="brak licencji office"/>
    <s v="E1317T"/>
    <s v="H90T"/>
    <s v="Pegatron"/>
    <x v="0"/>
    <s v="-"/>
    <n v="3"/>
    <m/>
  </r>
  <r>
    <x v="174"/>
    <s v="-"/>
    <n v="30019411"/>
    <s v="-"/>
    <s v="-"/>
    <s v="Touch / NON GLARE"/>
    <s v=";500 GB HDD"/>
    <s v="2 GB"/>
    <s v="AMD Temash A4-1200 "/>
    <s v="1,00 GHz"/>
    <s v="Win 8.1"/>
    <x v="81"/>
    <s v="HDD"/>
    <s v="brak licencji office"/>
    <s v="E1317T"/>
    <s v="H90T"/>
    <s v="Pegatron"/>
    <x v="0"/>
    <s v="-"/>
    <n v="3"/>
    <m/>
  </r>
  <r>
    <x v="175"/>
    <s v="-"/>
    <n v="30019127"/>
    <s v="-"/>
    <s v="-"/>
    <s v="Touch / NON GLARE"/>
    <s v="64 GB eMMC; 500 GB HDD"/>
    <s v="2 GB"/>
    <s v="Intel Celeron  N2910"/>
    <s v="1,60 GHz"/>
    <s v="Win 8.1"/>
    <x v="82"/>
    <s v="HDD"/>
    <s v="test PU9"/>
    <s v="-"/>
    <s v="-"/>
    <s v="-"/>
    <x v="0"/>
    <s v="-"/>
    <s v="-"/>
    <m/>
  </r>
  <r>
    <x v="176"/>
    <s v="-"/>
    <n v="30019128"/>
    <s v="-"/>
    <s v="-"/>
    <s v="Touch / NON GLARE"/>
    <s v="64 GB eMMC; 500 GB HDD"/>
    <s v="2 GB"/>
    <s v="Intel Celeron  N2910"/>
    <s v="1,60 GHz"/>
    <s v="Win 8.1"/>
    <x v="82"/>
    <s v="HDD"/>
    <s v="test PU9"/>
    <s v="-"/>
    <s v="-"/>
    <s v="-"/>
    <x v="0"/>
    <s v="-"/>
    <s v="-"/>
    <m/>
  </r>
  <r>
    <x v="177"/>
    <s v="-"/>
    <n v="30017761"/>
    <s v="-"/>
    <s v="-"/>
    <s v="Touch / NON GLARE"/>
    <s v="64 GB eMMC; 500 GB HDD"/>
    <s v="4 GB"/>
    <s v="Intel Celeron  N2910"/>
    <s v="1,60 GHz"/>
    <s v="Win 8.1"/>
    <x v="82"/>
    <s v="HDD"/>
    <s v="test PU9"/>
    <s v="-"/>
    <s v="-"/>
    <s v="-"/>
    <x v="0"/>
    <s v="-"/>
    <s v="-"/>
    <m/>
  </r>
  <r>
    <x v="178"/>
    <s v="-"/>
    <n v="30019129"/>
    <s v="-"/>
    <s v="-"/>
    <s v="Touch / NON GLARE"/>
    <s v="64 GB eMMC; 500 GB HDD"/>
    <s v="4 GB"/>
    <s v="Intel Celeron  N2910"/>
    <s v="1,60 GHz"/>
    <s v="Win 8.1"/>
    <x v="82"/>
    <s v="HDD"/>
    <s v="test PU9"/>
    <s v="-"/>
    <s v="-"/>
    <s v="-"/>
    <x v="0"/>
    <s v="-"/>
    <s v="-"/>
    <m/>
  </r>
  <r>
    <x v="179"/>
    <s v="-"/>
    <n v="30019107"/>
    <s v="-"/>
    <s v="-"/>
    <s v="Matowy"/>
    <s v=";1 TB HDD"/>
    <s v="4 GB"/>
    <s v="Celeron 1005M"/>
    <s v="1,90 GHz"/>
    <s v="Win 8"/>
    <x v="83"/>
    <s v="HDD"/>
    <s v="-"/>
    <s v="E6237"/>
    <s v="C15A"/>
    <s v="Pegatron"/>
    <x v="0"/>
    <s v="-"/>
    <n v="3"/>
    <m/>
  </r>
  <r>
    <x v="180"/>
    <s v="-"/>
    <n v="30019419"/>
    <s v="-"/>
    <s v="-"/>
    <s v="Touch / NON GLARE"/>
    <s v="32 GB eMMC; 500 GB HDD"/>
    <s v="4 GB"/>
    <s v="Intel Celeron  N2920"/>
    <s v="1,86 GHz"/>
    <s v="Win 8.1"/>
    <x v="84"/>
    <s v="HDD"/>
    <s v="test PU9"/>
    <s v="-"/>
    <s v="-"/>
    <s v="-"/>
    <x v="0"/>
    <s v="-"/>
    <s v="-"/>
    <m/>
  </r>
  <r>
    <x v="181"/>
    <s v="-"/>
    <n v="30019160"/>
    <s v="-"/>
    <s v="-"/>
    <s v="Touch / NON GLARE"/>
    <s v="64 GB eMMC; 500 GB HDD"/>
    <s v="4 GB"/>
    <s v="Intel Celeron  N2920"/>
    <s v="1,86 GHz"/>
    <s v="Win 8.1"/>
    <x v="85"/>
    <s v="HDD / RECOVER"/>
    <s v="test PU9"/>
    <s v="-"/>
    <s v="-"/>
    <s v="-"/>
    <x v="0"/>
    <s v="-"/>
    <s v="-"/>
    <m/>
  </r>
  <r>
    <x v="182"/>
    <s v="-"/>
    <n v="30018288"/>
    <s v="-"/>
    <s v="-"/>
    <s v="Touch / NON GLARE"/>
    <s v="64 GB eMMc; 1 TB HDD"/>
    <s v="4 GB"/>
    <s v="Intel Celeron  N2920"/>
    <s v="1,86 GHz"/>
    <s v="Win 8.1"/>
    <x v="85"/>
    <s v="HDD / RECOVER"/>
    <s v="test PU9"/>
    <s v="-"/>
    <s v="-"/>
    <s v="-"/>
    <x v="0"/>
    <s v="-"/>
    <s v="-"/>
    <m/>
  </r>
  <r>
    <x v="183"/>
    <s v="-"/>
    <n v="30018287"/>
    <s v="-"/>
    <s v="-"/>
    <s v="Touch / NON GLARE"/>
    <s v=";500 GB HDD"/>
    <s v="4 GB"/>
    <s v="AMD Temash A4-1200 "/>
    <s v="1,00 GHz"/>
    <s v="Win 8.1"/>
    <x v="81"/>
    <s v="HDD"/>
    <s v="Licencja Office 8.1"/>
    <s v="E1317T"/>
    <s v=" H90T"/>
    <s v="Pegatron"/>
    <x v="0"/>
    <s v="-"/>
    <n v="3"/>
    <m/>
  </r>
  <r>
    <x v="184"/>
    <s v="-"/>
    <n v="30019161"/>
    <s v="-"/>
    <s v="-"/>
    <s v="Matowy"/>
    <s v="64 GB eMMC; 500 GB HDD"/>
    <s v="4 GB"/>
    <s v="Intel Celeron  N2930"/>
    <s v="1,83 Ghz"/>
    <s v="Win 8.1"/>
    <x v="86"/>
    <s v=" 3.0 HDD (puszczane z kieszeni 3.0 podłaczonej do tabletu)"/>
    <s v="BACK COVER MEDION!!!"/>
    <s v="S6213T"/>
    <s v="T15M"/>
    <s v="Pegatron"/>
    <x v="0"/>
    <s v="-"/>
    <n v="3"/>
    <m/>
  </r>
  <r>
    <x v="185"/>
    <s v="-"/>
    <n v="30018970"/>
    <s v="-"/>
    <s v="-"/>
    <s v="Matowy"/>
    <s v="64 GB eMMC; 500 GB HDD"/>
    <s v="4 GB"/>
    <s v="Intel Pentium  N3530"/>
    <s v="2,16 GHz"/>
    <s v="Win 8.1"/>
    <x v="86"/>
    <s v=" 3.0 HDD (puszczane z kieszeni 3.0 podłaczonej do tabletu)"/>
    <s v="BACK COVER MEDION!!!"/>
    <s v="S6213T"/>
    <s v="T15M"/>
    <s v="Pegatron"/>
    <x v="1"/>
    <s v="-"/>
    <n v="1"/>
    <m/>
  </r>
  <r>
    <x v="186"/>
    <s v="-"/>
    <n v="30022634"/>
    <s v="-"/>
    <s v="-"/>
    <s v="Touch / NON GLARE"/>
    <s v="64 GB eMMC; 500 GB HDD"/>
    <s v="4 GB"/>
    <s v="Intel Celeron  N2930"/>
    <s v="1,83 GHZ"/>
    <s v="Win 8.1"/>
    <x v="82"/>
    <s v="HDD"/>
    <s v="test PU9"/>
    <s v="-"/>
    <s v="-"/>
    <s v="-"/>
    <x v="0"/>
    <s v="-"/>
    <s v="-"/>
    <m/>
  </r>
  <r>
    <x v="187"/>
    <s v="-"/>
    <n v="30019480"/>
    <s v="-"/>
    <s v="-"/>
    <s v="Matowy"/>
    <s v=";500 GB HDD"/>
    <s v="2 GB"/>
    <s v="Intel Celeron  N2830"/>
    <s v="2,16 GHz"/>
    <s v="Win 8.1"/>
    <x v="87"/>
    <s v="HDD"/>
    <s v="-"/>
    <s v="E6239"/>
    <s v="C15M"/>
    <s v="Pegatron"/>
    <x v="0"/>
    <s v="-"/>
    <n v="3"/>
    <m/>
  </r>
  <r>
    <x v="188"/>
    <s v="-"/>
    <n v="30019420"/>
    <s v="-"/>
    <s v="-"/>
    <s v="Touch / NON GLARE"/>
    <s v="128 GB eMMC; 1 TB HDD"/>
    <s v="8 GB"/>
    <s v="Intel CoreTM i5 - 4210U "/>
    <s v="1,70 GHz"/>
    <s v="Win 8.1"/>
    <x v="88"/>
    <s v="Pendrive"/>
    <s v="BACK COVER MEDION!!!"/>
    <s v="S6413T"/>
    <s v="T15B"/>
    <s v="Pegatron"/>
    <x v="1"/>
    <s v="-"/>
    <n v="1"/>
    <m/>
  </r>
  <r>
    <x v="189"/>
    <s v="-"/>
    <n v="30020722"/>
    <s v="-"/>
    <s v="-"/>
    <s v="Matowy"/>
    <s v=";500 GB HDD"/>
    <s v="4 GB"/>
    <s v="Intel Celeron  N2830"/>
    <s v="2,16 GHz"/>
    <s v="Win 8.1"/>
    <x v="87"/>
    <s v="HDD"/>
    <s v="-"/>
    <s v="E6239"/>
    <s v="C15M"/>
    <s v="Pegatron"/>
    <x v="0"/>
    <s v="-"/>
    <n v="3"/>
    <m/>
  </r>
  <r>
    <x v="190"/>
    <s v="-"/>
    <n v="30019162"/>
    <s v="-"/>
    <s v="-"/>
    <s v="Touch / NON GLARE"/>
    <s v="32 GB eMMC;"/>
    <s v="2 GB"/>
    <s v="Intel Celeron  N2930"/>
    <s v="1,83 GHZ"/>
    <s v="Win 8.1"/>
    <x v="89"/>
    <s v="HDD"/>
    <s v="test PU9"/>
    <s v="-"/>
    <s v="-"/>
    <s v="-"/>
    <x v="0"/>
    <s v="-"/>
    <s v="-"/>
    <m/>
  </r>
  <r>
    <x v="191"/>
    <s v="-"/>
    <n v="30019163"/>
    <s v="-"/>
    <s v="-"/>
    <s v="Touch / NON GLARE"/>
    <s v="64 GB eMMC;"/>
    <s v="4 GB"/>
    <s v="Intel Pentium  N3530"/>
    <s v="2,16 GHz"/>
    <s v="Win 8.1"/>
    <x v="90"/>
    <s v="Pendrive/Recovery puszczane z ustawien systemu"/>
    <s v="test PU9"/>
    <s v="-"/>
    <s v="-"/>
    <s v="-"/>
    <x v="0"/>
    <s v="-"/>
    <s v="-"/>
    <m/>
  </r>
  <r>
    <x v="192"/>
    <s v="-"/>
    <n v="30018857"/>
    <s v="-"/>
    <s v="-"/>
    <s v="Touch / NON GLARE"/>
    <s v=";500 GB SSHD"/>
    <s v="4 GB"/>
    <s v="Intel Celeron  N2807"/>
    <s v="1,58 GHz"/>
    <s v="Win 8.1"/>
    <x v="91"/>
    <s v="HDD"/>
    <s v="brak licencji office"/>
    <s v="E1231T"/>
    <s v="Skoda"/>
    <s v="Inventec"/>
    <x v="0"/>
    <s v="-"/>
    <n v="1"/>
    <m/>
  </r>
  <r>
    <x v="193"/>
    <s v="-"/>
    <n v="30019716"/>
    <s v="-"/>
    <s v="-"/>
    <s v="Touch / NON GLARE"/>
    <s v="64 GB eMMC; 500 GB HDD"/>
    <s v="4 GB"/>
    <s v="Intel Celeron  N2930"/>
    <s v="1,83 Ghz"/>
    <s v="Win 8.1"/>
    <x v="92"/>
    <s v="HDD"/>
    <s v="BACK COVER MEDION!!!"/>
    <s v="S6213T"/>
    <s v="T15M"/>
    <s v="Pegatron"/>
    <x v="1"/>
    <s v="-"/>
    <n v="1"/>
    <m/>
  </r>
  <r>
    <x v="194"/>
    <s v="-"/>
    <n v="30019987"/>
    <s v="-"/>
    <s v="-"/>
    <s v="Touch / NON GLARE"/>
    <s v="64 GB eMMc; 1 TB HDD"/>
    <s v="4 GB"/>
    <s v="Intel CoreTM i5 - 4210U "/>
    <s v="1,70 GHz"/>
    <s v="Win 8.1"/>
    <x v="88"/>
    <s v="Pendrive"/>
    <s v="BACK COVER MEDION!!!"/>
    <s v="S6413T"/>
    <s v="T15B"/>
    <s v="Pegatron"/>
    <x v="1"/>
    <s v="-"/>
    <n v="1"/>
    <m/>
  </r>
  <r>
    <x v="195"/>
    <s v="-"/>
    <n v="30021120"/>
    <s v="-"/>
    <s v="-"/>
    <s v="Matowy"/>
    <s v=";500 GB HDD"/>
    <s v="4 GB"/>
    <s v="Intel Celeron  N2930"/>
    <s v="1,83 Ghz"/>
    <s v="Win 8.1"/>
    <x v="93"/>
    <s v="HDD"/>
    <s v="-"/>
    <s v="E6239"/>
    <s v="C15M"/>
    <s v="Pegatron"/>
    <x v="0"/>
    <s v="-"/>
    <n v="3"/>
    <m/>
  </r>
  <r>
    <x v="196"/>
    <s v="-"/>
    <n v="30020733"/>
    <s v="-"/>
    <s v="-"/>
    <s v="Matowy"/>
    <s v=";1 TB HDD"/>
    <s v="8 GB"/>
    <s v="Intel Celeron  N2930"/>
    <s v="1,83 Ghz"/>
    <s v="Win 8.1"/>
    <x v="94"/>
    <s v="HDD"/>
    <s v="-"/>
    <s v="E6239"/>
    <s v="C15M"/>
    <s v="Pegatron"/>
    <x v="0"/>
    <s v="-"/>
    <n v="3"/>
    <m/>
  </r>
  <r>
    <x v="197"/>
    <s v="-"/>
    <n v="30019334"/>
    <s v="-"/>
    <s v="-"/>
    <s v="Touch / NON GLARE"/>
    <s v=";500 GB HDD"/>
    <s v="2 GB"/>
    <s v="AMD Temash A4-1200 "/>
    <s v="1,00 GHz"/>
    <s v="Win 8.1"/>
    <x v="81"/>
    <s v="HDD"/>
    <s v="Licencja Office 8.1"/>
    <s v="E1317T"/>
    <s v="H90T"/>
    <s v="Pegatron"/>
    <x v="0"/>
    <s v="-"/>
    <n v="3"/>
    <m/>
  </r>
  <r>
    <x v="198"/>
    <s v="-"/>
    <n v="30020396"/>
    <s v="-"/>
    <s v="-"/>
    <s v="Touch / GLARE"/>
    <s v="32 GB eMMC; 500 GB HDD"/>
    <s v="2 GB"/>
    <s v="Celeron N2940"/>
    <s v="1,83 -2,25 GHz"/>
    <s v="Win 8.1"/>
    <x v="95"/>
    <s v="Pendrive"/>
    <s v="Test akku, Fimware SATA dock"/>
    <s v="P2213T"/>
    <s v="T11M"/>
    <s v="Pegatron"/>
    <x v="1"/>
    <s v="-"/>
    <n v="1"/>
    <m/>
  </r>
  <r>
    <x v="199"/>
    <s v="-"/>
    <n v="30019988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3T"/>
    <s v="T11M"/>
    <s v="Pegatron"/>
    <x v="1"/>
    <s v="-"/>
    <n v="1"/>
    <m/>
  </r>
  <r>
    <x v="200"/>
    <s v="-"/>
    <n v="30020799"/>
    <s v="-"/>
    <s v="-"/>
    <s v="Touch / NON GLARE"/>
    <s v="64 GB eMMc; 1 TB HDD"/>
    <s v="4 GB"/>
    <s v="Celeron N2940"/>
    <s v="1,83 -2,25 GHz"/>
    <s v="Win 8.1"/>
    <x v="97"/>
    <s v="HDD"/>
    <s v="Test akku / Fimware SATA dock /  Recovery z ustawien systemu"/>
    <s v=" P2213T"/>
    <s v="T11M"/>
    <s v="Pegatron"/>
    <x v="1"/>
    <s v="-"/>
    <n v="1"/>
    <m/>
  </r>
  <r>
    <x v="201"/>
    <s v="-"/>
    <n v="30019369"/>
    <s v="-"/>
    <s v="-"/>
    <s v="Touch / NON GLARE"/>
    <s v="64 GB eMMc; 1 TB HDD"/>
    <s v="4 GB"/>
    <s v="Intel Pentium  N3540"/>
    <s v="2,16,GHz"/>
    <s v="Win 8.1"/>
    <x v="97"/>
    <s v="HDD"/>
    <s v="Test akku, Fimware SATA dock"/>
    <s v="P2213T"/>
    <s v="T11M"/>
    <s v="Pegatron"/>
    <x v="1"/>
    <s v="-"/>
    <n v="1"/>
    <m/>
  </r>
  <r>
    <x v="202"/>
    <s v="-"/>
    <n v="30019368"/>
    <s v="-"/>
    <s v="-"/>
    <s v="Touch / NON GLARE"/>
    <s v="32 GB eMMC; 500 GB HDD"/>
    <s v="4 GB"/>
    <s v="Intel Celeron  N2920"/>
    <s v="1,86 GHz"/>
    <s v="Win 8.1"/>
    <x v="84"/>
    <s v="HDD"/>
    <s v="S/N Scan"/>
    <s v="P2211T"/>
    <s v="TZ20"/>
    <s v="ECS"/>
    <x v="0"/>
    <s v="-"/>
    <n v="4"/>
    <m/>
  </r>
  <r>
    <x v="203"/>
    <s v="-"/>
    <n v="30020683"/>
    <s v="-"/>
    <s v="-"/>
    <s v="Matowy"/>
    <s v=";500 GB HDD"/>
    <s v="4 GB"/>
    <s v="Celeron N2940"/>
    <s v="1,83 -2,25 GHz"/>
    <s v="Win 10"/>
    <x v="98"/>
    <s v="Pendrive"/>
    <s v="pisać pełny numer modelu, UWAGA 60019"/>
    <s v="E6239"/>
    <s v="C15M"/>
    <s v="Pegatron"/>
    <x v="0"/>
    <s v="-"/>
    <n v="3"/>
    <m/>
  </r>
  <r>
    <x v="204"/>
    <s v="-"/>
    <n v="30016288"/>
    <s v="-"/>
    <s v="-"/>
    <s v="Matowy"/>
    <s v="32 GB eMMC; 500 GB HDD"/>
    <s v="4 GB"/>
    <s v="Intel CoreTM i5 3317U "/>
    <s v="1,70 GHz"/>
    <s v="Win 8"/>
    <x v="99"/>
    <s v="HDD, SSD skasować"/>
    <s v="zostawic pusty SLOT DVD/AKKU!!"/>
    <s v="S4214"/>
    <s v="B34YA"/>
    <s v="Pegatron"/>
    <x v="0"/>
    <s v="-"/>
    <n v="3"/>
    <m/>
  </r>
  <r>
    <x v="205"/>
    <s v="-"/>
    <n v="30015476"/>
    <s v="-"/>
    <s v="-"/>
    <s v="Matowy"/>
    <s v=";1 TB HDD"/>
    <s v="4 GB"/>
    <s v="Intel CoreTM i3 3110M "/>
    <s v="2,40 GHz"/>
    <s v="Win 8"/>
    <x v="100"/>
    <s v="HDD"/>
    <s v="Chip Scan"/>
    <s v="E6232"/>
    <s v="M52U1"/>
    <s v="Wistron"/>
    <x v="0"/>
    <s v="-"/>
    <n v="3"/>
    <m/>
  </r>
  <r>
    <x v="206"/>
    <s v="-"/>
    <n v="30015734"/>
    <s v="-"/>
    <s v="-"/>
    <s v="Matowy"/>
    <s v=";1 TB HDD"/>
    <s v="8 GB"/>
    <s v="Intel CoreTM i5 - 3210 M "/>
    <s v="2,50 GHz"/>
    <s v="Win 8"/>
    <x v="101"/>
    <s v="HDD"/>
    <s v="-"/>
    <s v="P7816"/>
    <s v="A17FG"/>
    <s v="Pegatron"/>
    <x v="0"/>
    <s v="-"/>
    <n v="3"/>
    <m/>
  </r>
  <r>
    <x v="207"/>
    <s v="-"/>
    <n v="30015477"/>
    <s v="-"/>
    <s v="-"/>
    <s v="Matowy"/>
    <s v="32 GB eMMc; 1 TB HDD"/>
    <s v="4 GB"/>
    <s v="Intel CoreTM i3 3217U "/>
    <s v="1,80 GHz"/>
    <s v="Win 8"/>
    <x v="102"/>
    <s v="HDD, SSD skasować"/>
    <s v="-"/>
    <s v="S4214"/>
    <s v="B34YA"/>
    <s v="Pegatron"/>
    <x v="0"/>
    <s v="-"/>
    <n v="3"/>
    <m/>
  </r>
  <r>
    <x v="208"/>
    <s v="-"/>
    <n v="30015893"/>
    <s v="-"/>
    <s v="-"/>
    <s v="Matowy"/>
    <s v=";750 GB HDD"/>
    <s v="8 GB"/>
    <s v="Intel CoreTM i7-3630QM "/>
    <s v="2,40 GHz"/>
    <s v="Win 8"/>
    <x v="103"/>
    <s v="HDD"/>
    <s v="-"/>
    <s v="X7820"/>
    <s v="MS-1762"/>
    <s v="MSI"/>
    <x v="0"/>
    <s v="-"/>
    <n v="3"/>
    <m/>
  </r>
  <r>
    <x v="209"/>
    <s v="-"/>
    <n v="30019106"/>
    <s v="-"/>
    <s v="-"/>
    <s v="Touch / GLARE"/>
    <s v=";500 GB HDD"/>
    <s v="4 GB"/>
    <s v="AMD Temash A4-1200 "/>
    <s v="1,00 GHz"/>
    <s v="Win 8"/>
    <x v="104"/>
    <s v="HDD"/>
    <s v="Licencja Office 8.0"/>
    <s v="E1318T"/>
    <s v="H90T"/>
    <s v="Pegatron"/>
    <x v="0"/>
    <s v="-"/>
    <n v="3"/>
    <m/>
  </r>
  <r>
    <x v="210"/>
    <s v="-"/>
    <n v="30022635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4T"/>
    <s v="T11M"/>
    <s v="Pegatron"/>
    <x v="1"/>
    <s v="-"/>
    <n v="1"/>
    <m/>
  </r>
  <r>
    <x v="211"/>
    <s v="-"/>
    <n v="30015516"/>
    <s v="-"/>
    <s v="-"/>
    <s v="Matowy"/>
    <s v=";500 GB HDD"/>
    <s v="4 GB"/>
    <s v="Intel Pentium  B960"/>
    <s v="2,20 GHz"/>
    <s v="Win 8"/>
    <x v="105"/>
    <s v="HDD"/>
    <s v="-"/>
    <s v="E6234"/>
    <s v="A15YA"/>
    <s v="Pegatron"/>
    <x v="0"/>
    <s v="-"/>
    <n v="3"/>
    <m/>
  </r>
  <r>
    <x v="212"/>
    <s v="NB S6217 GOLF PEAG MD99091 NL Ref"/>
    <n v="30021035"/>
    <n v="30018317"/>
    <s v="-"/>
    <s v="GLARE"/>
    <s v=";500 GB HDD"/>
    <s v="4 GB"/>
    <s v="Celeron N2940"/>
    <s v="1,83 -2,25 GHz"/>
    <s v="Win 8.1"/>
    <x v="106"/>
    <s v="HDD"/>
    <s v="KB - NL"/>
    <s v="S6217"/>
    <s v="GOLF Plus"/>
    <s v="Inventec"/>
    <x v="0"/>
    <s v="-"/>
    <s v="-"/>
    <m/>
  </r>
  <r>
    <x v="213"/>
    <s v="NB S6417 GOLF PEAQ MD99092 NL Ref"/>
    <n v="30021033"/>
    <n v="30018318"/>
    <s v="-"/>
    <s v="NON GLARE"/>
    <s v=";500 GB SSHD"/>
    <s v="4 GB"/>
    <s v="Intel Core TM m-5Y10c"/>
    <s v="0,80 - 2.0 GHz"/>
    <s v="Win 8.1"/>
    <x v="107"/>
    <s v="HDD"/>
    <s v="s6417"/>
    <s v="S6417"/>
    <s v="GOLF Plus"/>
    <s v="Inventec"/>
    <x v="0"/>
    <s v="-"/>
    <s v="-"/>
    <m/>
  </r>
  <r>
    <x v="214"/>
    <s v="NB P6515 Peaq MD99093 NL REF"/>
    <n v="30021043"/>
    <n v="30018320"/>
    <s v="-"/>
    <s v="NON GLARE"/>
    <s v=";500 GB SSHD"/>
    <s v="6 GB"/>
    <s v="i5-5200U"/>
    <s v="2,2, GHz"/>
    <s v="Win 8.1"/>
    <x v="108"/>
    <s v="HDD"/>
    <s v="wymiana zawiasów, top case  /KB - NL"/>
    <s v="P6515"/>
    <s v="Polo Aluminium/Plastic"/>
    <s v="Inventec"/>
    <x v="0"/>
    <s v="-"/>
    <s v="-"/>
    <m/>
  </r>
  <r>
    <x v="215"/>
    <s v="NB E6419 PEAQ MD99094 NL Ref"/>
    <n v="30021030"/>
    <n v="30018322"/>
    <s v="-"/>
    <s v="NON GLARE"/>
    <s v=";1 TB SSHD"/>
    <s v="6 GB"/>
    <s v="Intel PentiumCPU 3805U"/>
    <s v="1,9 GHz"/>
    <s v="Win 8.1"/>
    <x v="109"/>
    <s v="HDD"/>
    <s v="wymiana zawiasów, top case  /KB - NL "/>
    <s v="E6419"/>
    <s v="Polo Aluminium/Plastic"/>
    <s v="-"/>
    <x v="0"/>
    <s v="-"/>
    <s v="-"/>
    <m/>
  </r>
  <r>
    <x v="216"/>
    <s v="-"/>
    <n v="30016020"/>
    <s v="-"/>
    <s v="-"/>
    <s v="Matowy"/>
    <s v="32 GB eMMc; 750 GB HDD"/>
    <s v="8 GB"/>
    <s v="Intel CoreTM i5 - 3210M "/>
    <s v="2,50 GHz"/>
    <s v="Win 8"/>
    <x v="110"/>
    <s v="HDD"/>
    <s v="-"/>
    <s v="P7818"/>
    <s v="A17JA"/>
    <s v="Pegatron"/>
    <x v="0"/>
    <s v="-"/>
    <n v="3"/>
    <m/>
  </r>
  <r>
    <x v="217"/>
    <s v="NB PEAQ P2213T 2IN1 MD99096 NL Ref"/>
    <n v="30020994"/>
    <n v="30018316"/>
    <s v="-"/>
    <s v="Touch / NON GLARE"/>
    <s v="64 GB eMMC;"/>
    <s v="2 GB"/>
    <s v="Intel Celeron N2840"/>
    <s v="2,16 GHz"/>
    <s v="Win 8.1"/>
    <x v="111"/>
    <s v="Pendrive Tab 3.0 "/>
    <s v="KB - NL / zamiast recovery re; firmware:HDD&amp;DOCK(204); W urządzeniu powinien być ustawiony shipping mode Akku."/>
    <s v="P2213T"/>
    <s v="T11M"/>
    <s v="Pegatron"/>
    <x v="1"/>
    <s v="-"/>
    <s v="-"/>
    <m/>
  </r>
  <r>
    <x v="218"/>
    <s v="NB PEAQ P2213T 2IN1 MD99097 NL Ref"/>
    <n v="30020995"/>
    <n v="30018319"/>
    <s v="-"/>
    <s v="Touch / NON GLARE"/>
    <s v="64 GB eMMC; 500 GB HDD"/>
    <s v="4 GB"/>
    <s v="Intel Pentium  N3540"/>
    <s v="2,16 GHz"/>
    <s v="Win 8.1"/>
    <x v="112"/>
    <s v="Pendrive Tab 3.0 "/>
    <s v="Wykasować dispartem dyski, po skasowaniu dysków podpiąć PEN z  i zamknąć okienko konsoli. Uruchomi się i nagra sam./ KB - NL,  ; firmware:HDD&amp;DOCK(204); W urządzeniu powinien być ustawiony shipping mode Akku."/>
    <s v="P2213T"/>
    <s v="T11M"/>
    <s v="Pegatron"/>
    <x v="1"/>
    <s v="-"/>
    <s v="-"/>
    <m/>
  </r>
  <r>
    <x v="219"/>
    <s v="WTAB PEAQ E1233T WIN MD99098NL Ref"/>
    <n v="30021005"/>
    <n v="30018321"/>
    <s v="-"/>
    <s v="Touch/GLARE"/>
    <s v="16 GB eMMc;"/>
    <s v="2 GB"/>
    <s v="Atom Z3735F"/>
    <s v="1,33-1,83 Ghz"/>
    <s v="Win 8.1"/>
    <x v="113"/>
    <s v="Pendrive"/>
    <s v="KB NL"/>
    <s v="E1233T"/>
    <s v="E123xT"/>
    <s v="Bitland"/>
    <x v="0"/>
    <s v="-"/>
    <s v="-"/>
    <m/>
  </r>
  <r>
    <x v="220"/>
    <s v="-"/>
    <n v="30021651"/>
    <s v="-"/>
    <s v="-"/>
    <s v="Matowy"/>
    <s v=";500 GB HDD"/>
    <s v="4 GB"/>
    <s v="Intel Core i3-4000M"/>
    <s v="2,40 GHz"/>
    <s v="Win 10"/>
    <x v="114"/>
    <s v="Pendrive"/>
    <s v="-"/>
    <s v="E7227"/>
    <s v="C17B"/>
    <s v="Pegatron"/>
    <x v="0"/>
    <s v="-"/>
    <n v="3"/>
    <m/>
  </r>
  <r>
    <x v="221"/>
    <s v="-"/>
    <n v="30015892"/>
    <s v="-"/>
    <s v="-"/>
    <s v="Matowy"/>
    <s v=";1 TB HDD"/>
    <s v="8 GB"/>
    <s v="Intel CoreTM i3 - 3110 M "/>
    <s v="2,40 GHz"/>
    <s v="Win 8"/>
    <x v="115"/>
    <s v="HDD"/>
    <s v="-"/>
    <s v="P7818"/>
    <s v="A17JA"/>
    <s v="Pegatron"/>
    <x v="0"/>
    <s v="-"/>
    <n v="3"/>
    <m/>
  </r>
  <r>
    <x v="222"/>
    <s v="-"/>
    <n v="30016289"/>
    <s v="-"/>
    <s v="-"/>
    <s v="Matowy"/>
    <s v=";1 TB HDD"/>
    <s v="8 GB"/>
    <s v="Intel CoreTM i3 - 3110 M "/>
    <s v="2,40 GHz"/>
    <s v="Win 8"/>
    <x v="116"/>
    <s v="HDD"/>
    <s v="-"/>
    <s v="P7818"/>
    <s v="A17JA"/>
    <s v="Pegatron"/>
    <x v="0"/>
    <s v="-"/>
    <n v="3"/>
    <m/>
  </r>
  <r>
    <x v="223"/>
    <s v="-"/>
    <n v="30015857"/>
    <s v="-"/>
    <s v="Czarny"/>
    <s v="Matowy"/>
    <s v=";1 TB HDD"/>
    <s v="4 GB"/>
    <s v="Intel CoreTM i3 - 3120M "/>
    <s v="2,50 GHz"/>
    <s v="Win 8"/>
    <x v="117"/>
    <s v="HDD"/>
    <s v="-"/>
    <s v="P6638"/>
    <s v="A35FF"/>
    <s v="Pegatron"/>
    <x v="0"/>
    <s v="-"/>
    <n v="3"/>
    <m/>
  </r>
  <r>
    <x v="223"/>
    <s v="-"/>
    <n v="30015979"/>
    <s v="-"/>
    <s v="Srebrny"/>
    <s v="Matowy"/>
    <s v=";1 TB HDD"/>
    <s v="4 GB"/>
    <s v="Intel CoreTM i3 - 3120M "/>
    <s v="2,50 GHz"/>
    <s v="Win 8"/>
    <x v="117"/>
    <s v="HDD"/>
    <s v="-"/>
    <s v="P6638"/>
    <s v="A35FF"/>
    <s v="Pegatron"/>
    <x v="0"/>
    <s v="-"/>
    <n v="3"/>
    <m/>
  </r>
  <r>
    <x v="224"/>
    <s v="-"/>
    <n v="30016406"/>
    <s v="-"/>
    <s v="Czarny"/>
    <s v="Matowy"/>
    <s v=";1 TB HDD"/>
    <s v="4 GB"/>
    <s v="Intel CoreTM i3 - 3120M "/>
    <s v="2,50 GHz"/>
    <s v="Win 8"/>
    <x v="118"/>
    <s v="HDD"/>
    <s v="-"/>
    <s v="P6638"/>
    <s v="A35FF"/>
    <s v="Pegatron"/>
    <x v="0"/>
    <s v="-"/>
    <n v="3"/>
    <m/>
  </r>
  <r>
    <x v="224"/>
    <s v="-"/>
    <n v="30016407"/>
    <s v="-"/>
    <s v="Grafitowy"/>
    <s v="Matowy"/>
    <s v=";1 TB HDD"/>
    <s v="4 GB"/>
    <s v="Intel CoreTM i3 - 3120M "/>
    <s v="2,50 GHz"/>
    <s v="Win 8"/>
    <x v="118"/>
    <s v="HDD"/>
    <s v="-"/>
    <s v="P6638"/>
    <s v="A35FF"/>
    <s v="Pegatron"/>
    <x v="0"/>
    <s v="-"/>
    <n v="3"/>
    <m/>
  </r>
  <r>
    <x v="225"/>
    <s v="PMM C1008-I01NL"/>
    <n v="30020996"/>
    <n v="30018668"/>
    <s v="-"/>
    <s v="Touch/GLARE"/>
    <s v="32 GB eMMC;"/>
    <s v="2 GB"/>
    <s v="Atom Z3735F"/>
    <s v="1,33-1,83 Ghz"/>
    <s v="Win 8.1"/>
    <x v="119"/>
    <s v="Pendrive"/>
    <s v="KB - NL, po testach recovery z pod system"/>
    <s v="C1008"/>
    <s v="WMBT1031"/>
    <s v="Tongfang"/>
    <x v="0"/>
    <s v="-"/>
    <s v="-"/>
    <m/>
  </r>
  <r>
    <x v="226"/>
    <s v="PMM C1008-I01NL"/>
    <n v="30020997"/>
    <n v="30018669"/>
    <s v="-"/>
    <s v="Touch/GLARE"/>
    <s v="32 GB eMMC;"/>
    <s v="2 GB"/>
    <s v="Atom Z3735F"/>
    <s v="1,33-1,83 Ghz"/>
    <s v="Win 8.1"/>
    <x v="119"/>
    <s v="Pendrive"/>
    <s v="KB - NL, po testach recovery z pod system"/>
    <s v="C1008"/>
    <s v="WMBT1031"/>
    <s v="Tongfang"/>
    <x v="0"/>
    <s v="-"/>
    <s v="-"/>
    <m/>
  </r>
  <r>
    <x v="227"/>
    <s v="CNB PEAQ P2213T MD99188 NL Ref"/>
    <n v="30021006"/>
    <n v="30018690"/>
    <s v="-"/>
    <s v="Touch / NON GLARE"/>
    <s v="32 GB eMMC; 500 GB HDD"/>
    <s v="4 GB"/>
    <s v="Intel Pentium  N3540"/>
    <s v="2,16 GHz"/>
    <s v="Win 8.1"/>
    <x v="120"/>
    <s v="HDD"/>
    <s v="KB - NL, po testach recovery z pod system, pratycję D:// dogrywamy przez HDClone z dysku; firmware:HDD&amp;DOCK(204); W urządzeniu powinien być ustawiony shipping mode Akku."/>
    <s v="P2213T"/>
    <s v="T11M"/>
    <s v="Pegatron"/>
    <x v="1"/>
    <s v="-"/>
    <s v="-"/>
    <m/>
  </r>
  <r>
    <x v="228"/>
    <s v="PNB P1115-I2NL"/>
    <n v="30021041"/>
    <n v="30018691"/>
    <s v="-"/>
    <s v="NON GLARE"/>
    <s v=";500 GB SSHD"/>
    <s v="8 GB"/>
    <s v="Intel Pentium CPU 3805U"/>
    <s v="1,9 GHz"/>
    <s v="Win 8.1"/>
    <x v="108"/>
    <s v="HDD"/>
    <s v="wymiana zawiasów, top case  /KB -NL"/>
    <s v="P1115"/>
    <s v="Polo Aluminium/Plastic"/>
    <s v="Inventec"/>
    <x v="0"/>
    <s v="-"/>
    <s v="-"/>
    <m/>
  </r>
  <r>
    <x v="229"/>
    <s v="PNB S1015-I2NL"/>
    <n v="30021032"/>
    <n v="30018692"/>
    <s v="-"/>
    <s v="NON GLARE"/>
    <s v=";500 GB SSHD"/>
    <s v="4 GB"/>
    <s v="Intel Pentium CPU 3540U"/>
    <s v="2.16 GHz"/>
    <s v="Win 8.1"/>
    <x v="121"/>
    <s v="HDD"/>
    <s v="KB - NL "/>
    <s v="S1015"/>
    <s v="Golf Plus"/>
    <s v="Inventec"/>
    <x v="0"/>
    <s v="-"/>
    <s v="-"/>
    <m/>
  </r>
  <r>
    <x v="230"/>
    <s v="PNB S1115-IMNL"/>
    <n v="30021038"/>
    <n v="30018693"/>
    <s v="-"/>
    <s v="NON GLARE"/>
    <s v="128 GB SSD;"/>
    <s v="4 GB"/>
    <s v="Intel Core TM m-5Y10c"/>
    <s v="0,80 - 2.0 GHz"/>
    <s v="Win 8.1"/>
    <x v="122"/>
    <s v="SSD 128 GB"/>
    <s v="KB - NL "/>
    <s v="S1115"/>
    <s v="Golf 2.0"/>
    <s v="Inventec"/>
    <x v="0"/>
    <s v="-"/>
    <s v="-"/>
    <m/>
  </r>
  <r>
    <x v="231"/>
    <s v=" PNB P1115-I5NL"/>
    <n v="30021007"/>
    <n v="30018694"/>
    <s v="-"/>
    <s v="NON GLARE"/>
    <s v=";500 GB SSHD"/>
    <s v="4 GB"/>
    <s v="i5-5200U"/>
    <s v="2,2, GHz"/>
    <s v="Win 8.1"/>
    <x v="123"/>
    <s v="HDD"/>
    <s v="wymiana zawiasów, top case  /KB - NL"/>
    <s v="P1115"/>
    <s v="Polo Aluminium/Plastic"/>
    <s v="Inventec"/>
    <x v="0"/>
    <s v="-"/>
    <s v="-"/>
    <m/>
  </r>
  <r>
    <x v="232"/>
    <s v="PNB P1115-I7NL"/>
    <n v="30021054"/>
    <n v="30018695"/>
    <s v="-"/>
    <s v="NON GLARE"/>
    <s v=";500 GB SSHD"/>
    <s v="6 GB"/>
    <s v="Intel Core i7-5500U "/>
    <s v="2,4 Ghz"/>
    <s v="Win 10"/>
    <x v="124"/>
    <s v="Pendrive"/>
    <s v="KB -  NL"/>
    <s v="P1115"/>
    <s v="Polo Aluminium/Plastic"/>
    <s v="Inventec"/>
    <x v="0"/>
    <s v="-"/>
    <s v="-"/>
    <m/>
  </r>
  <r>
    <x v="233"/>
    <s v="-"/>
    <n v="30015998"/>
    <s v="-"/>
    <s v="Srebrny"/>
    <s v="Matowy"/>
    <s v=";1 TB HDD"/>
    <s v="8 GB"/>
    <s v="Intel CoreTM i3 - 3120M "/>
    <s v="2,50 GHz"/>
    <s v="Win 8"/>
    <x v="125"/>
    <s v="HDD"/>
    <s v="-"/>
    <s v="P6640"/>
    <s v="M52P1"/>
    <s v="Wistron"/>
    <x v="0"/>
    <s v="-"/>
    <n v="3"/>
    <m/>
  </r>
  <r>
    <x v="234"/>
    <s v="-"/>
    <n v="30017176"/>
    <s v="-"/>
    <s v="-"/>
    <s v="Matowy"/>
    <s v=";500 GB HDD"/>
    <s v="4 GB"/>
    <s v="Intel CoreTM i3 - 3120M "/>
    <s v="2,50 GHz"/>
    <s v="Win 8"/>
    <x v="126"/>
    <s v="HDD"/>
    <s v="-"/>
    <s v="E6232"/>
    <s v="M52U1"/>
    <s v="Wistron"/>
    <x v="0"/>
    <s v="-"/>
    <n v="3"/>
    <m/>
  </r>
  <r>
    <x v="235"/>
    <s v="-"/>
    <n v="30016718"/>
    <s v="-"/>
    <s v="-"/>
    <s v="Matowy"/>
    <s v=";1 TB HDD"/>
    <s v="4 GB"/>
    <s v="Intel Pentium  2020M"/>
    <s v="2,40 GHz"/>
    <s v="Win 8"/>
    <x v="127"/>
    <s v="HDD"/>
    <s v="-"/>
    <s v="E6234"/>
    <s v="A15YA"/>
    <s v="Pegatron"/>
    <x v="0"/>
    <s v="-"/>
    <n v="3"/>
    <m/>
  </r>
  <r>
    <x v="236"/>
    <s v="-"/>
    <n v="30016719"/>
    <s v="-"/>
    <s v="-"/>
    <s v="Matowy"/>
    <s v=";500 GB HDD"/>
    <s v="4 GB"/>
    <s v="Intel Pentium  2020M"/>
    <s v="2,40 GHz"/>
    <s v="Win 8"/>
    <x v="128"/>
    <s v="HDD"/>
    <s v="-"/>
    <s v="E6234"/>
    <s v="A15YA"/>
    <s v="Pegatron"/>
    <x v="0"/>
    <s v="-"/>
    <n v="3"/>
    <m/>
  </r>
  <r>
    <x v="237"/>
    <s v="-"/>
    <n v="30018246"/>
    <s v="-"/>
    <s v="-"/>
    <s v="Matowy"/>
    <s v=";500 GB HDD"/>
    <s v="4 GB"/>
    <s v="Intel CoreTM i3 - 3120M "/>
    <s v="2,50 GHz"/>
    <s v="Win 8"/>
    <x v="105"/>
    <s v="HDD"/>
    <s v="-"/>
    <s v="E6234"/>
    <s v="A15YA"/>
    <s v="Pegatron"/>
    <x v="0"/>
    <s v="-"/>
    <n v="3"/>
    <m/>
  </r>
  <r>
    <x v="238"/>
    <s v="-"/>
    <n v="30016805"/>
    <s v="-"/>
    <s v="-"/>
    <s v="Touch / GLARE"/>
    <s v=";500 GB HDD"/>
    <s v="2 GB"/>
    <s v="AMD Temash A4-1200 "/>
    <s v="1,00 GHz"/>
    <s v="Win 8"/>
    <x v="129"/>
    <s v="HDD"/>
    <s v="Licencja Office 8.0"/>
    <s v="E1318T"/>
    <s v="H90T"/>
    <s v="Pegatron"/>
    <x v="0"/>
    <s v="-"/>
    <n v="3"/>
    <m/>
  </r>
  <r>
    <x v="239"/>
    <s v="-"/>
    <n v="30016806"/>
    <s v="-"/>
    <s v="-"/>
    <s v="Matowy"/>
    <s v=";500 GB HDD"/>
    <s v="4 GB"/>
    <s v="Intel Pentium  2020M"/>
    <s v="2,40 GHz"/>
    <s v="Win 8"/>
    <x v="130"/>
    <s v="HDD"/>
    <s v="-"/>
    <s v="E7222"/>
    <s v="A17JA"/>
    <s v="Pegatron"/>
    <x v="0"/>
    <s v="-"/>
    <n v="3"/>
    <m/>
  </r>
  <r>
    <x v="240"/>
    <s v="-"/>
    <n v="30016901"/>
    <s v="-"/>
    <s v="-"/>
    <s v="Touch / GLARE"/>
    <s v=";500 GB SSHD"/>
    <s v="4 GB"/>
    <s v="Intel Core i3-4010U"/>
    <s v="1,70 GHz"/>
    <s v="Win 8.1"/>
    <x v="131"/>
    <s v="HDD"/>
    <s v="-"/>
    <s v="S6212T"/>
    <s v="US55II1"/>
    <s v="ECS"/>
    <x v="0"/>
    <s v="-"/>
    <n v="4"/>
    <m/>
  </r>
  <r>
    <x v="241"/>
    <s v="-"/>
    <n v="30017359"/>
    <s v="-"/>
    <s v="-"/>
    <s v="Matowy"/>
    <s v=";1 TB SSHD"/>
    <s v="6 GB"/>
    <s v="Intel CoreTM i5 - 3230 M "/>
    <s v="2,60 GHz"/>
    <s v="Win 8"/>
    <x v="132"/>
    <s v="HDD"/>
    <s v="-"/>
    <s v="P7628"/>
    <s v="C17A"/>
    <s v="Pegatron"/>
    <x v="0"/>
    <s v="-"/>
    <n v="3"/>
    <m/>
  </r>
  <r>
    <x v="242"/>
    <s v="-"/>
    <n v="30017883"/>
    <s v="-"/>
    <s v="-"/>
    <s v="Matowy"/>
    <s v="32 GB eMMC; 500 GB HDD"/>
    <s v="4 GB"/>
    <s v="Intel CoreTM i5 3317U "/>
    <s v="1,70 GHz"/>
    <s v="Win 8"/>
    <x v="133"/>
    <s v="HDD, SSD skasować"/>
    <s v="zostawic pusty SLOT DVD/AKKU!!"/>
    <s v="S4214"/>
    <s v="B34YA"/>
    <s v="Pegatron"/>
    <x v="0"/>
    <s v="-"/>
    <n v="3"/>
    <m/>
  </r>
  <r>
    <x v="243"/>
    <s v="-"/>
    <n v="30017318"/>
    <s v="-"/>
    <s v="-"/>
    <s v="Touch / NON GLARE"/>
    <s v="64 GB eMMC; 500 GB HDD"/>
    <s v="2 GB"/>
    <s v="Intel Celeron  N2910"/>
    <s v="1,60 GHz"/>
    <s v="Win 8.1"/>
    <x v="134"/>
    <s v="HDD / RECOVER"/>
    <s v="test PU9"/>
    <s v="P2212T"/>
    <s v="TZ20"/>
    <s v="ECS"/>
    <x v="0"/>
    <s v="-"/>
    <n v="4"/>
    <m/>
  </r>
  <r>
    <x v="244"/>
    <s v="-"/>
    <n v="30017114"/>
    <s v="-"/>
    <s v="-"/>
    <s v="Touch / NON GLARE"/>
    <s v=";500 GB SSHD"/>
    <s v="4 GB"/>
    <s v=" Intel Celeron  N2910"/>
    <s v="1,60 GHz"/>
    <s v="Win 8.1"/>
    <x v="135"/>
    <s v="HDD"/>
    <s v="Update Firmware LCD/Touch"/>
    <s v="E6240T"/>
    <s v="C15M"/>
    <s v="Pegatron"/>
    <x v="0"/>
    <s v="-"/>
    <n v="3"/>
    <m/>
  </r>
  <r>
    <x v="245"/>
    <s v="PNB P1115-I5CH"/>
    <n v="30021096"/>
    <n v="30019033"/>
    <s v="-"/>
    <s v="NON GLARE"/>
    <s v=";1 TB SSHD"/>
    <s v="8 GB"/>
    <s v="i5-5200U"/>
    <s v="2,2, GHz"/>
    <s v="Win 8.1"/>
    <x v="136"/>
    <s v="HDD"/>
    <s v="KB -CH"/>
    <s v="P1115"/>
    <s v="Polo Aluminium/Plastic"/>
    <s v="Inventec"/>
    <x v="0"/>
    <s v="-"/>
    <s v="-"/>
    <m/>
  </r>
  <r>
    <x v="246"/>
    <s v="-"/>
    <n v="30017319"/>
    <s v="-"/>
    <s v="-"/>
    <s v="Matowy"/>
    <s v=";500 GB HDD"/>
    <s v="4 GB"/>
    <s v="Intel Celeron  N2910"/>
    <s v="1,60 GHz"/>
    <s v="Win 8.1"/>
    <x v="137"/>
    <s v="HDD"/>
    <s v="-"/>
    <s v="E6240"/>
    <s v="C15M"/>
    <s v="Pegatron"/>
    <x v="0"/>
    <s v="-"/>
    <n v="3"/>
    <m/>
  </r>
  <r>
    <x v="247"/>
    <s v=" S1115-IMCH"/>
    <n v="30022964"/>
    <n v="30019032"/>
    <s v="-"/>
    <s v="NON GLARE"/>
    <s v=";1 TB HDD"/>
    <s v="4 GB"/>
    <s v="Intel Core TM m-5Y10c"/>
    <s v="0,80 - 2.0 GHz"/>
    <s v="Win 8.1"/>
    <x v="138"/>
    <s v="HDD"/>
    <s v="KB - CH"/>
    <s v="S1115"/>
    <s v="GOLF Plus"/>
    <s v="Inventec"/>
    <x v="0"/>
    <s v="-"/>
    <s v="-"/>
    <m/>
  </r>
  <r>
    <x v="248"/>
    <s v="-"/>
    <n v="30017360"/>
    <s v="-"/>
    <s v="-"/>
    <s v="Matowy"/>
    <s v="64 GB eMMc; 1 TB HDD"/>
    <s v="4 GB"/>
    <s v="IntelCore i7-4700MQ "/>
    <s v="2,40GHz"/>
    <s v="Win 8"/>
    <x v="139"/>
    <s v="HDD"/>
    <s v="-"/>
    <s v="X7826"/>
    <s v="MS-1762"/>
    <s v="MSI"/>
    <x v="0"/>
    <s v="-"/>
    <n v="3"/>
    <m/>
  </r>
  <r>
    <x v="249"/>
    <s v="C1017-I2CH"/>
    <n v="30021097"/>
    <n v="30019034"/>
    <s v="-"/>
    <s v="NON GLARE"/>
    <s v=";1 TB HDD"/>
    <s v="4 GB"/>
    <s v="Intel PentiumCPU 3805U"/>
    <s v="1,9 GHz"/>
    <s v="Win 8.1"/>
    <x v="140"/>
    <s v="HDD"/>
    <s v="KB - CH"/>
    <s v="C1017"/>
    <s v="D17D"/>
    <s v="Pegatron"/>
    <x v="1"/>
    <s v="-"/>
    <s v="-"/>
    <m/>
  </r>
  <r>
    <x v="250"/>
    <s v="P1017-I5CH"/>
    <n v="30021081"/>
    <n v="30019035"/>
    <s v="-"/>
    <s v="NON GLARE"/>
    <s v=";1 TB SSHD"/>
    <s v="8 GB"/>
    <s v="i5-5200U"/>
    <s v="2,2, GHz"/>
    <s v="Win 8.1"/>
    <x v="141"/>
    <s v="HDD"/>
    <s v="KB - CH"/>
    <s v="P1017"/>
    <s v="D17D"/>
    <s v="Pegatron"/>
    <x v="1"/>
    <s v="-"/>
    <s v="-"/>
    <m/>
  </r>
  <r>
    <x v="251"/>
    <s v="P1117-I7CH"/>
    <n v="30021090"/>
    <n v="30019036"/>
    <s v="-"/>
    <s v="NON GLARE?"/>
    <s v=";1 TB SSHD"/>
    <s v="8 GB"/>
    <s v="Intel Core i7-5500U "/>
    <s v="2,4 Ghz"/>
    <s v="Win 10"/>
    <x v="141"/>
    <s v="HDD"/>
    <s v="KB -CH"/>
    <s v="P1117"/>
    <s v="D17D"/>
    <s v="Pegatron"/>
    <x v="1"/>
    <s v="-"/>
    <s v="-"/>
    <m/>
  </r>
  <r>
    <x v="252"/>
    <s v="-"/>
    <n v="30017361"/>
    <s v="-"/>
    <s v="-"/>
    <s v="Touch /NON GLARE"/>
    <s v=";1 TB SSHD"/>
    <s v="4 GB"/>
    <s v="Intel Pentium  N3520"/>
    <s v="2,16 GHz"/>
    <s v="Win 8.1"/>
    <x v="142"/>
    <s v="HDD"/>
    <s v="-"/>
    <s v="E7226T"/>
    <s v="C17M"/>
    <s v="Pegatron"/>
    <x v="0"/>
    <s v="-"/>
    <n v="3"/>
    <m/>
  </r>
  <r>
    <x v="253"/>
    <s v="-"/>
    <n v="30017723"/>
    <s v="-"/>
    <s v="-"/>
    <s v="Matowy"/>
    <s v=";1 TB SSHD"/>
    <s v="4 GB"/>
    <s v="Intel Pentium  N3520"/>
    <s v="2,16 GHz"/>
    <s v="Win 8.1"/>
    <x v="143"/>
    <s v="HDD"/>
    <s v="-"/>
    <s v="E7226"/>
    <s v="C17M"/>
    <s v="Pegatron"/>
    <x v="0"/>
    <s v="-"/>
    <n v="3"/>
    <m/>
  </r>
  <r>
    <x v="254"/>
    <s v="-"/>
    <n v="30022769"/>
    <s v="-"/>
    <s v="-"/>
    <s v="Touch / GLARE"/>
    <s v=";500 GB HDD"/>
    <s v="4 GB"/>
    <s v="Intel Pentium  3558U"/>
    <s v="1,70 GHz"/>
    <s v="Win 8.1"/>
    <x v="144"/>
    <s v="HDD"/>
    <s v="sponge/ poron"/>
    <s v="E6412T"/>
    <s v=" D15B"/>
    <s v="Pegatron"/>
    <x v="1"/>
    <s v="-"/>
    <n v="3"/>
    <m/>
  </r>
  <r>
    <x v="255"/>
    <s v="-"/>
    <n v="30021122"/>
    <s v="-"/>
    <s v="-"/>
    <s v="Touch / NON GLARE"/>
    <s v="64 GB eMMC; 500 GB HDD"/>
    <s v="4 GB"/>
    <s v="Celeron N2940"/>
    <s v="1,83 -2,25 GHz"/>
    <s v="Win 8.1"/>
    <x v="145"/>
    <s v="Pedrive "/>
    <s v="Test akku, Fimware SATA dock"/>
    <s v="P2214T"/>
    <s v="T11M"/>
    <s v="Pegatron"/>
    <x v="1"/>
    <s v="-"/>
    <n v="1"/>
    <m/>
  </r>
  <r>
    <x v="256"/>
    <s v="-"/>
    <n v="30019081"/>
    <s v="-"/>
    <s v="-"/>
    <s v="Touch / NON GLARE"/>
    <s v="64 GB eMMC; 500 GB HDD"/>
    <s v="4 GB"/>
    <s v="Intel Pentium  N3540"/>
    <s v="2,16 GHz"/>
    <s v="Win 8.1"/>
    <x v="86"/>
    <s v=" 3.0 HDD"/>
    <s v="-"/>
    <s v="S6214T"/>
    <s v="T15M"/>
    <s v="Pegatron"/>
    <x v="1"/>
    <s v="-"/>
    <n v="1"/>
    <m/>
  </r>
  <r>
    <x v="257"/>
    <s v="-"/>
    <n v="30021202"/>
    <s v="-"/>
    <s v="-"/>
    <s v="Touch/GLARE"/>
    <s v="64 GB eMMC;"/>
    <s v="2 GB"/>
    <s v="Atom Z3735F"/>
    <s v="1,33-1,83 Ghz"/>
    <s v="Win 8.1"/>
    <x v="146"/>
    <s v="Pendrive"/>
    <s v="BIOS!!!"/>
    <s v="E1234T"/>
    <s v="E123xT"/>
    <s v="Bitland"/>
    <x v="0"/>
    <s v="-"/>
    <s v="-"/>
    <m/>
  </r>
  <r>
    <x v="258"/>
    <s v="-"/>
    <n v="30022636"/>
    <s v="-"/>
    <s v="-"/>
    <s v="Matowy"/>
    <s v=";500 GB HDD"/>
    <s v="2 GB"/>
    <s v="Celeron N2840"/>
    <s v="2,16 GHz"/>
    <s v="Win 8.1"/>
    <x v="147"/>
    <s v="Pendrive"/>
    <s v="Klawiatura Hiszpańska/ Inne klawiatury na ks i abverkauf. Nowe MB magą się nie włączać dopóki nie poklika się kila razy we włącznik."/>
    <s v="E4213"/>
    <s v="NDBT1401"/>
    <s v="Tongfang"/>
    <x v="0"/>
    <s v="-"/>
    <n v="4"/>
    <m/>
  </r>
  <r>
    <x v="259"/>
    <s v="-"/>
    <n v="30017430"/>
    <s v="-"/>
    <s v="-"/>
    <s v="Touch / GLARE"/>
    <s v=";500 GB HDD"/>
    <s v="4 GB"/>
    <s v="AMD Temash A4-1200 "/>
    <s v="1,00 GHz"/>
    <s v="Win 8.1"/>
    <x v="148"/>
    <s v="HDD"/>
    <s v="Licencja Office 8.1"/>
    <s v="E1318T"/>
    <s v="H90T"/>
    <s v="Pegatron"/>
    <x v="0"/>
    <s v="-"/>
    <n v="3"/>
    <m/>
  </r>
  <r>
    <x v="260"/>
    <s v="-"/>
    <n v="30017913"/>
    <s v="-"/>
    <s v="-"/>
    <s v="Touch / NON GLARE"/>
    <s v="64 GB eMMC; 500 GB HDD"/>
    <s v="2 GB"/>
    <s v="Intel Celeron  N2920"/>
    <s v="1,86 GHz"/>
    <s v="Win 8.1"/>
    <x v="149"/>
    <s v="HDD / RECOVER"/>
    <s v="test PU9"/>
    <s v="P2212T"/>
    <s v="TZ20"/>
    <s v="ECS"/>
    <x v="0"/>
    <s v="-"/>
    <n v="4"/>
    <m/>
  </r>
  <r>
    <x v="261"/>
    <s v="PMM C1008-I01N"/>
    <n v="30022965"/>
    <s v="30019136, 30020222"/>
    <s v="-"/>
    <s v="Touch/GLARE"/>
    <s v="64 GB eMMC;"/>
    <s v="2 GB"/>
    <s v="Atom Z3735F"/>
    <s v="1,33-1,83 Ghz"/>
    <s v="Win 10"/>
    <x v="150"/>
    <s v="Pendrive"/>
    <s v="KB - NL /  zamiast recovery re"/>
    <s v="C1008"/>
    <s v="WMBT1031"/>
    <s v="Tongfang"/>
    <x v="0"/>
    <s v="-"/>
    <s v="-"/>
    <m/>
  </r>
  <r>
    <x v="262"/>
    <s v="PMM C1010-I01NL"/>
    <n v="30022966"/>
    <n v="30019135"/>
    <s v="-"/>
    <s v="Touch/GLARE"/>
    <s v="64 GB eMMC;"/>
    <s v="2 GB"/>
    <s v="Atom Z3735F"/>
    <s v="1,33-1,83 Ghz"/>
    <s v="Win 10"/>
    <x v="150"/>
    <s v="Pendrive"/>
    <s v="KB - NL /  zamiast recovery re"/>
    <s v="C1008"/>
    <s v="WMBT1031"/>
    <s v="Tongfang"/>
    <x v="0"/>
    <s v="-"/>
    <s v="-"/>
    <m/>
  </r>
  <r>
    <x v="262"/>
    <s v="PMM C1010-I01NL "/>
    <n v="30022966"/>
    <n v="30020223"/>
    <s v="-"/>
    <s v="Touch/GLARE"/>
    <s v="64 GB eMMC;"/>
    <s v="2 GB"/>
    <s v="Atom Z3735F"/>
    <s v="1,33-1,83 Ghz"/>
    <s v="Win 10"/>
    <x v="150"/>
    <s v="Pendrive"/>
    <s v="KB - NL /  zamiast recovery re"/>
    <s v="C1008"/>
    <s v="WMBT1031"/>
    <s v="Tongfang"/>
    <x v="0"/>
    <s v="-"/>
    <s v="-"/>
    <m/>
  </r>
  <r>
    <x v="263"/>
    <s v="PNB C1014-I1NL"/>
    <n v="30020998"/>
    <n v="30019134"/>
    <s v="-"/>
    <s v="NON GLARE"/>
    <s v="32 GB eMMC; 500 GB HDD"/>
    <s v="2 GB"/>
    <s v="Celeron N2940"/>
    <s v="1,83 -2,25 GHz"/>
    <s v="Win 10"/>
    <x v="151"/>
    <s v="Pendrive- WYBIERAMY 2 OPCJĘ "/>
    <s v="Klawiatura NL, Zamiast Recovery -  z pendrive"/>
    <s v="C1014"/>
    <s v="NDBT1401"/>
    <s v="Tongfang"/>
    <x v="0"/>
    <s v="-"/>
    <s v="-"/>
    <m/>
  </r>
  <r>
    <x v="264"/>
    <s v="PNB S1015-I2NL"/>
    <n v="30022967"/>
    <s v="30019139, 30020147"/>
    <s v="-"/>
    <s v="NON GLARE"/>
    <s v=";500 GB HDD"/>
    <s v="4 GB"/>
    <s v="Intel Pentium  N3540"/>
    <s v="2,16 GHz"/>
    <s v="Win 10"/>
    <x v="152"/>
    <s v="Pendrive"/>
    <s v="KB -NL"/>
    <m/>
    <m/>
    <m/>
    <x v="2"/>
    <s v="-"/>
    <s v="-"/>
    <m/>
  </r>
  <r>
    <x v="265"/>
    <s v="PNB S1115-IM2N"/>
    <n v="30021085"/>
    <n v="30019150"/>
    <s v="-"/>
    <s v="NON GLARE ?"/>
    <s v="128 GB SSD;"/>
    <s v="4 GB"/>
    <s v="Intel Core TM m-5Y31"/>
    <s v="0,90 - 2.4 GHz"/>
    <s v="Win 10"/>
    <x v="153"/>
    <s v="Pendrive"/>
    <s v="KB -NL"/>
    <s v="S1115"/>
    <s v="Golf 2.0"/>
    <s v="Inventec"/>
    <x v="0"/>
    <s v="-"/>
    <s v="-"/>
    <m/>
  </r>
  <r>
    <x v="266"/>
    <s v="PNB C1015-I2N2"/>
    <n v="30021036"/>
    <n v="30019151"/>
    <s v="-"/>
    <s v="NON GLARE"/>
    <s v="128 GB SSD; 500 GB HDD"/>
    <s v="8 GB"/>
    <s v="Intel PentiumCPU 3805U"/>
    <s v="1,9 GHz"/>
    <s v="Win 10"/>
    <x v="154"/>
    <s v="Pendrive"/>
    <s v="wymiana zawiasów, top case  /KB - NL"/>
    <s v="C1015"/>
    <s v="Polo Aluminium/Plastic"/>
    <s v="Inventec"/>
    <x v="0"/>
    <s v="-"/>
    <s v="-"/>
    <m/>
  </r>
  <r>
    <x v="267"/>
    <s v="PNB P1115-I5NL"/>
    <n v="30021078"/>
    <n v="30019138"/>
    <s v="-"/>
    <s v="NON GLARE"/>
    <s v=";1 TB SSHD"/>
    <s v="8 GB"/>
    <s v="i5-5200U"/>
    <s v="2,2, GHz"/>
    <s v="Win 10"/>
    <x v="155"/>
    <s v="Pendrive"/>
    <s v="KB -NL"/>
    <s v="P1115"/>
    <s v="Polo Aluminium/Plastic"/>
    <s v="Inventec"/>
    <x v="0"/>
    <s v="-"/>
    <s v="-"/>
    <m/>
  </r>
  <r>
    <x v="268"/>
    <s v="PNB P1115-I7N2"/>
    <n v="30021084"/>
    <n v="30019137"/>
    <s v="-"/>
    <s v="NON GLARE"/>
    <s v=";1 TB SSHD"/>
    <s v="8 GB"/>
    <s v="Intel Core i7-5500U "/>
    <s v="2,4 Ghz"/>
    <s v="Win 10"/>
    <x v="155"/>
    <s v="Pendrive"/>
    <s v="KB -NL"/>
    <s v="P1115"/>
    <s v="Polo Aluminium/Plastic"/>
    <s v="Inventec"/>
    <x v="0"/>
    <s v="-"/>
    <s v="-"/>
    <m/>
  </r>
  <r>
    <x v="269"/>
    <s v="-"/>
    <n v="30021205"/>
    <s v="-"/>
    <s v="-"/>
    <s v="Touch/GLARE"/>
    <s v="32 GB eMMC;"/>
    <s v="2 GB"/>
    <s v="Atom Z3735F"/>
    <s v="1,33-1,83 Ghz"/>
    <s v="Win 10"/>
    <x v="156"/>
    <s v="Pendrive "/>
    <s v="re"/>
    <s v="S1219T"/>
    <s v="M1042"/>
    <s v="CZC"/>
    <x v="0"/>
    <s v="-"/>
    <s v="-"/>
    <m/>
  </r>
  <r>
    <x v="270"/>
    <s v="-"/>
    <n v="30022637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3T"/>
    <s v="T11M"/>
    <s v="Pegatron"/>
    <x v="1"/>
    <s v="-"/>
    <n v="1"/>
    <m/>
  </r>
  <r>
    <x v="271"/>
    <s v="-"/>
    <n v="30017431"/>
    <s v="-"/>
    <s v="-"/>
    <s v="Touch / NON GLARE"/>
    <s v=";500 GB SSHD"/>
    <s v="4 GB"/>
    <s v="Intel Celeron  N2920"/>
    <s v="1,86 GHz"/>
    <s v="Win 8.1"/>
    <x v="157"/>
    <s v="HDD"/>
    <s v="-"/>
    <s v="E6240T"/>
    <s v="C15M"/>
    <s v="Pegatron"/>
    <x v="0"/>
    <s v="-"/>
    <n v="3"/>
    <m/>
  </r>
  <r>
    <x v="272"/>
    <s v="-"/>
    <n v="30017722"/>
    <s v="-"/>
    <s v="-"/>
    <s v="Touch / NON GLARE"/>
    <s v="64 GB eMMC; 500 GB HDD"/>
    <s v="4 GB"/>
    <s v="Intel Celeron  N2920"/>
    <s v="1,86 GHz"/>
    <s v="Win 8.1"/>
    <x v="149"/>
    <s v="HDD / RECOVER"/>
    <s v="test PU9"/>
    <s v="-"/>
    <s v="-"/>
    <s v="-"/>
    <x v="0"/>
    <s v="-"/>
    <s v="-"/>
    <m/>
  </r>
  <r>
    <x v="273"/>
    <s v="-"/>
    <n v="30020445"/>
    <s v="-"/>
    <s v="-"/>
    <s v="Matowy"/>
    <s v=";500 GB HDD"/>
    <s v="4 GB"/>
    <s v="i5-5200U"/>
    <s v="2,2, GHz"/>
    <s v="Win 10"/>
    <x v="158"/>
    <s v="Pendrive"/>
    <s v="Shipping mode"/>
    <s v="E7416"/>
    <s v="D17D"/>
    <s v="Pegatron"/>
    <x v="1"/>
    <s v="-"/>
    <n v="3"/>
    <m/>
  </r>
  <r>
    <x v="274"/>
    <s v="-"/>
    <n v="30020735"/>
    <s v="-"/>
    <s v="-"/>
    <s v="Touch /NON GLARE"/>
    <s v=";500 GB HDD"/>
    <s v="4 GB"/>
    <s v="Intel Pentium  3558U"/>
    <s v="1,70 GHz"/>
    <s v="Win 10"/>
    <x v="159"/>
    <s v="Pendrive"/>
    <s v="sponge/ poron"/>
    <s v="E6412T"/>
    <s v="D15B"/>
    <s v="Pegatron"/>
    <x v="1"/>
    <s v="-"/>
    <n v="3"/>
    <m/>
  </r>
  <r>
    <x v="275"/>
    <s v="-"/>
    <n v="30020395"/>
    <s v="-"/>
    <s v="-"/>
    <s v="Touch / NON GLARE"/>
    <s v="64 GB eMMC; 500 GB HDD"/>
    <s v="4 GB"/>
    <s v="Celeron N2940"/>
    <s v="1,83 -2,25 GHz"/>
    <s v="Win 10"/>
    <x v="160"/>
    <s v="Pendrive Tab 3.0"/>
    <s v="Pendrivepodłączyc do tabletu!!!"/>
    <s v="P2214T"/>
    <s v="T11M"/>
    <s v="Pegatron"/>
    <x v="1"/>
    <s v="-"/>
    <n v="1"/>
    <m/>
  </r>
  <r>
    <x v="276"/>
    <s v="-"/>
    <n v="30020336"/>
    <s v="-"/>
    <s v="-"/>
    <s v="Touch / NON GLARE"/>
    <s v="64 GB eMMC; 500 GB HDD"/>
    <s v="4 GB"/>
    <s v="Intel Pentium  N3540"/>
    <s v="2,16 GHz"/>
    <s v="Win 10"/>
    <x v="161"/>
    <s v="Pendrive"/>
    <s v="BACK COVER AKOYA!!!"/>
    <s v="S6214T"/>
    <s v="T15M"/>
    <s v="Pegatron"/>
    <x v="1"/>
    <s v="-"/>
    <n v="1"/>
    <m/>
  </r>
  <r>
    <x v="277"/>
    <s v="-"/>
    <n v="30020706"/>
    <s v="-"/>
    <s v="-"/>
    <s v="Touch /NON GLARE"/>
    <s v=";1 TB HDD"/>
    <s v="4 GB"/>
    <s v="Intel Pentium 3805U "/>
    <s v="1,90 GHz"/>
    <s v="Win 10"/>
    <x v="162"/>
    <s v="Pendrive"/>
    <s v="Shipping mode"/>
    <s v="E7416T"/>
    <s v="D17D"/>
    <s v="Pegatron"/>
    <x v="1"/>
    <s v="-"/>
    <n v="3"/>
    <m/>
  </r>
  <r>
    <x v="278"/>
    <s v="-"/>
    <n v="30017939"/>
    <s v="-"/>
    <s v="-"/>
    <s v="Touch / NON GLARE"/>
    <s v="64 GB eMMC; 500 GB HDD"/>
    <s v="4 GB"/>
    <s v="Intel Pentium  N3520"/>
    <s v="2,16 GHz"/>
    <s v="Win 8.1"/>
    <x v="163"/>
    <s v="HDD (formatowanie pamieci Flash)"/>
    <s v="BACK COVER AKOYA!!!"/>
    <s v="S6214T"/>
    <s v="T15M"/>
    <s v="Pegatron"/>
    <x v="1"/>
    <s v="-"/>
    <n v="1"/>
    <m/>
  </r>
  <r>
    <x v="279"/>
    <s v="-"/>
    <n v="30019354"/>
    <s v="-"/>
    <s v="-"/>
    <s v="Touch / NON GLARE"/>
    <s v="64 GB eMMC; 500 GB HDD"/>
    <s v="4 GB"/>
    <s v="Intel Pentium  N3530"/>
    <s v="2,16 GHz"/>
    <s v="Win 8.1"/>
    <x v="163"/>
    <s v="HDD (formatowanie pamieci Flash)"/>
    <s v="Sticker WINDOWS 8, BACK COVER AKOYA!!!  Shipping mode. (T15)"/>
    <s v="S6214T"/>
    <s v="T15M"/>
    <s v="Pegatron"/>
    <x v="1"/>
    <s v="-"/>
    <n v="1"/>
    <m/>
  </r>
  <r>
    <x v="280"/>
    <s v="-"/>
    <n v="30018243"/>
    <s v="-"/>
    <s v="-"/>
    <s v="Touch / NON GLARE"/>
    <s v=";500 GB SSHD"/>
    <s v="4 GB"/>
    <s v="Intel Celeron  N2920"/>
    <s v="1,86 GHz"/>
    <s v="Win 8.1"/>
    <x v="93"/>
    <s v="HDD"/>
    <s v="-"/>
    <s v="E6240T"/>
    <s v="C15M"/>
    <s v="Pegatron"/>
    <x v="0"/>
    <s v="-"/>
    <n v="3"/>
    <m/>
  </r>
  <r>
    <x v="281"/>
    <s v="-"/>
    <n v="30018791"/>
    <s v="-"/>
    <s v="-"/>
    <s v="Matowy"/>
    <s v=";500 GB SSHD"/>
    <s v="4 GB"/>
    <s v="Intel Pentium  N3530"/>
    <s v="2,16 GHz"/>
    <s v="Win 8.1"/>
    <x v="164"/>
    <s v="HDD"/>
    <s v="-"/>
    <s v="E7226"/>
    <s v="C17M"/>
    <s v="Pegatron"/>
    <x v="0"/>
    <s v="-"/>
    <n v="3"/>
    <m/>
  </r>
  <r>
    <x v="282"/>
    <s v="-"/>
    <n v="30020418"/>
    <s v="-"/>
    <s v="-"/>
    <s v="Touch/GLARE"/>
    <s v="64 GB eMMC;"/>
    <s v="2 GB"/>
    <s v="Atom Z3735F"/>
    <s v="1,33-1,83 Ghz"/>
    <s v="Win 8.1"/>
    <x v="146"/>
    <s v="Pendrive"/>
    <s v="BIOS!!!"/>
    <s v="E1234T"/>
    <s v="E123xT"/>
    <s v="Bitland"/>
    <x v="0"/>
    <s v="-"/>
    <s v="-"/>
    <m/>
  </r>
  <r>
    <x v="283"/>
    <s v="-"/>
    <n v="30018289"/>
    <s v="-"/>
    <s v="-"/>
    <s v="Touch / NON GLARE"/>
    <s v=";500 GB HDD"/>
    <s v="4 GB"/>
    <s v="Intel Celeron  N2807"/>
    <s v="1,58 GHz"/>
    <s v="Win 8.1"/>
    <x v="165"/>
    <s v="HDD"/>
    <s v="Licencja Office 8.1"/>
    <s v="E1232T"/>
    <s v="Skoda"/>
    <s v="Inventec"/>
    <x v="0"/>
    <s v="-"/>
    <n v="1"/>
    <m/>
  </r>
  <r>
    <x v="284"/>
    <s v="-"/>
    <n v="30019126"/>
    <s v="-"/>
    <s v="-"/>
    <s v="Touch / NON GLARE"/>
    <s v=";500 GB SSHD"/>
    <s v="4 GB"/>
    <s v="Intel Celeron  N2930"/>
    <s v="1,83 GHz"/>
    <s v="Win 8.1"/>
    <x v="93"/>
    <s v="HDD"/>
    <s v="-"/>
    <s v="E6240T"/>
    <s v="C15M"/>
    <s v="Pegatron"/>
    <x v="0"/>
    <s v="-"/>
    <n v="3"/>
    <m/>
  </r>
  <r>
    <x v="285"/>
    <s v="-"/>
    <n v="30018247"/>
    <s v="-"/>
    <s v="-"/>
    <s v="Matowy"/>
    <s v=";500 GB HDD"/>
    <s v="4 GB"/>
    <s v="Intel Celeron  N2930"/>
    <s v="1,83 GHz"/>
    <s v="Win 8.1"/>
    <x v="166"/>
    <s v="HDD"/>
    <s v="-"/>
    <s v="E7226"/>
    <s v="C17M"/>
    <s v="Pegatron"/>
    <x v="0"/>
    <s v="-"/>
    <n v="3"/>
    <m/>
  </r>
  <r>
    <x v="286"/>
    <s v="-"/>
    <n v="30018792"/>
    <s v="-"/>
    <s v="-"/>
    <s v="Matowy"/>
    <s v=";500 GB SSHD"/>
    <s v="4 GB"/>
    <s v="Intel Pentium  N3530"/>
    <s v="2,16 GHz"/>
    <s v="Win 8.1"/>
    <x v="166"/>
    <s v="HDD"/>
    <s v="-"/>
    <s v="E6240T"/>
    <s v="C15M"/>
    <s v="Pegatron"/>
    <x v="0"/>
    <s v="-"/>
    <n v="3"/>
    <m/>
  </r>
  <r>
    <x v="287"/>
    <s v="-"/>
    <n v="30019399"/>
    <s v="-"/>
    <s v="-"/>
    <s v="Matowy"/>
    <s v=";1 TB HDD"/>
    <s v="4 GB"/>
    <s v="Intel Core i3 - 4100M  "/>
    <s v="2,16 GHz"/>
    <s v="Win 8.1"/>
    <x v="167"/>
    <s v="HDD"/>
    <s v="-"/>
    <s v="P6648"/>
    <s v="C15B"/>
    <s v="Pegatron"/>
    <x v="0"/>
    <s v="-"/>
    <n v="3"/>
    <m/>
  </r>
  <r>
    <x v="288"/>
    <s v="-"/>
    <n v="30018400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4T"/>
    <s v="T11M"/>
    <s v="Pegatron"/>
    <x v="1"/>
    <s v="-"/>
    <n v="1"/>
    <m/>
  </r>
  <r>
    <x v="289"/>
    <s v="-"/>
    <n v="30024299"/>
    <s v="-"/>
    <s v="Srebrny"/>
    <s v="Matowy 1080p"/>
    <s v="64 GB eMMC;"/>
    <s v="2 GB"/>
    <s v="Atom Z3735F"/>
    <s v="1,33-1,83 Ghz"/>
    <s v="Win 10"/>
    <x v="15"/>
    <s v="Pendrive"/>
    <s v="-"/>
    <s v="S2217"/>
    <s v="EF20"/>
    <s v="ECS"/>
    <x v="0"/>
    <s v="-"/>
    <s v="bez"/>
    <m/>
  </r>
  <r>
    <x v="290"/>
    <s v="PNB C1011-I0N1"/>
    <n v="30021034"/>
    <n v="30019276"/>
    <s v="-"/>
    <s v="NON GLARE"/>
    <s v="64 GB eMMC;"/>
    <s v="2 GB"/>
    <s v="Atom Z3735F"/>
    <s v="1,33-1,83 Ghz"/>
    <s v="Win 10"/>
    <x v="24"/>
    <s v="Pendrive"/>
    <s v="KB - NL / zamiast recovery re"/>
    <s v="C1011"/>
    <s v="EF20"/>
    <s v="ECS"/>
    <x v="0"/>
    <s v="-"/>
    <s v="-"/>
    <m/>
  </r>
  <r>
    <x v="291"/>
    <s v="-"/>
    <n v="30018767"/>
    <s v="-"/>
    <s v="-"/>
    <s v="Touch / NON GLARE"/>
    <s v="64 GB eMMC; 500 GB HDD"/>
    <s v="4 GB"/>
    <s v="Intel Pentium  N3540"/>
    <s v="2,16 GHz"/>
    <s v="Win 8.1"/>
    <x v="92"/>
    <s v="HDD"/>
    <s v="BACK COVER AKOYA!!!"/>
    <s v="S6214T"/>
    <s v="T15M"/>
    <s v="Pegatron"/>
    <x v="1"/>
    <s v="-"/>
    <n v="1"/>
    <m/>
  </r>
  <r>
    <x v="292"/>
    <s v="PNB C1011-I0B1"/>
    <n v="30023741"/>
    <n v="30019277"/>
    <s v="-"/>
    <s v="Matowy"/>
    <s v="64 GB eMMC;"/>
    <s v="2 GB"/>
    <s v="Atom Z3735F"/>
    <s v="1,33-1,83 Ghz"/>
    <s v="Win 10"/>
    <x v="24"/>
    <s v="Pendrive"/>
    <s v="KB - BE"/>
    <s v="C1011"/>
    <s v="EF20"/>
    <s v="ECS"/>
    <x v="0"/>
    <s v="-"/>
    <s v="-"/>
    <m/>
  </r>
  <r>
    <x v="293"/>
    <s v="PMM C1008-I01B1"/>
    <n v="30021048"/>
    <n v="30019300"/>
    <s v="-"/>
    <s v="Touch/GLARE"/>
    <s v="32 GB eMMC;"/>
    <s v="2 GB"/>
    <s v="Atom Z3735F"/>
    <s v="1,33-1,83 Ghz"/>
    <s v="Win 10"/>
    <x v="150"/>
    <s v="Pendrive"/>
    <s v="KB - BE /  zamiast recovery re"/>
    <s v="C1008"/>
    <s v="WMBT1031"/>
    <s v="Tongfang"/>
    <x v="0"/>
    <s v="-"/>
    <s v="-"/>
    <m/>
  </r>
  <r>
    <x v="294"/>
    <s v="-"/>
    <n v="30019510"/>
    <s v="-"/>
    <s v="-"/>
    <s v="Matowy"/>
    <s v=";1 TB HDD"/>
    <s v="6 GB"/>
    <s v="IntelCore i5-4210M "/>
    <s v="2,60 GHz"/>
    <s v="Win 8.1"/>
    <x v="168"/>
    <s v="HDD"/>
    <s v="-"/>
    <s v="P7632"/>
    <s v="C17B"/>
    <s v="Pegatron"/>
    <x v="0"/>
    <s v="-"/>
    <n v="3"/>
    <m/>
  </r>
  <r>
    <x v="295"/>
    <s v="PMM C1010-I01B1"/>
    <n v="30021100"/>
    <n v="30019279"/>
    <s v="-"/>
    <s v="Touch/GLARE"/>
    <s v="64 GB eMMC;"/>
    <s v="2 GB"/>
    <s v="Atom Z3735F"/>
    <s v="1,33-1,83 Ghz"/>
    <s v="Win 10"/>
    <x v="150"/>
    <s v="Pendrive"/>
    <s v="-"/>
    <s v="C1010"/>
    <s v="WMBT1031"/>
    <s v="Tongfang"/>
    <x v="0"/>
    <s v="-"/>
    <s v="-"/>
    <m/>
  </r>
  <r>
    <x v="296"/>
    <s v=" PNB C1014-I1B1"/>
    <n v="30021039"/>
    <n v="30019278"/>
    <s v="-"/>
    <s v="NON GLARE"/>
    <s v="32 GB eMMC;"/>
    <s v="2 GB"/>
    <s v="Celeron N2940"/>
    <s v="1,83 -2,25 GHz"/>
    <s v="Win 10"/>
    <x v="151"/>
    <s v="Pendrive"/>
    <s v="Sprawdzić czy w kieszani nie ma dodatkowegoHDD/ KB - BE /  zamiast recovery re /problem z kamera -&gt; wl/ wylacz klawiszem Fn"/>
    <s v="C1014"/>
    <s v="NDBT1401"/>
    <s v="Tongfang"/>
    <x v="0"/>
    <s v="-"/>
    <s v="-"/>
    <m/>
  </r>
  <r>
    <x v="297"/>
    <s v="PNB P1115-I5B1"/>
    <n v="30021072"/>
    <n v="30019301"/>
    <s v="-"/>
    <s v="NON GLARE"/>
    <s v=";1 TB SSHD"/>
    <s v="8 GB"/>
    <s v="i5-5200U"/>
    <s v="2,2, GHz"/>
    <s v="Win 10"/>
    <x v="124"/>
    <s v="Pendrive"/>
    <s v="KB -BE"/>
    <s v="P1115"/>
    <s v="Polo Aluminium/Plastic"/>
    <s v="Inventec"/>
    <x v="0"/>
    <s v="-"/>
    <s v="-"/>
    <m/>
  </r>
  <r>
    <x v="298"/>
    <s v="-"/>
    <n v="30018939"/>
    <s v="-"/>
    <s v="-"/>
    <s v="Touch /NON GLARE"/>
    <s v=";500 GB HDD"/>
    <s v="4 GB"/>
    <s v="Intel Pentium  3558U"/>
    <s v="1,70 GHz"/>
    <s v="Win 8.1"/>
    <x v="169"/>
    <s v="HDD"/>
    <s v="sponge/ poron"/>
    <s v="E6412T"/>
    <s v="D15B"/>
    <s v="Pegatron"/>
    <x v="1"/>
    <s v="-"/>
    <n v="3"/>
    <m/>
  </r>
  <r>
    <x v="299"/>
    <s v="-"/>
    <n v="30019410"/>
    <s v="-"/>
    <s v="-"/>
    <s v="Matowy"/>
    <s v=";500 GB HDD"/>
    <s v="4 GB"/>
    <s v="Intel Pentium  N3540"/>
    <s v="2,16 GHz"/>
    <s v="Win 8.1"/>
    <x v="93"/>
    <s v="HDD"/>
    <s v="-"/>
    <s v="E6240"/>
    <s v="C15M"/>
    <s v="Pegatron"/>
    <x v="0"/>
    <s v="-"/>
    <n v="3"/>
    <m/>
  </r>
  <r>
    <x v="300"/>
    <s v="-"/>
    <n v="30021352"/>
    <s v="-"/>
    <s v="-"/>
    <s v="Matowy"/>
    <s v=";500 GB HDD"/>
    <s v="4 GB"/>
    <s v="Intel Mobile Celeron N2840"/>
    <s v="2,16 GHz"/>
    <s v="Win 10"/>
    <x v="98"/>
    <s v="Pendrive"/>
    <s v="-"/>
    <s v="E6239"/>
    <s v="C15M"/>
    <s v="Pegatron"/>
    <x v="0"/>
    <s v="-"/>
    <n v="3"/>
    <m/>
  </r>
  <r>
    <x v="301"/>
    <s v="-"/>
    <n v="30019989"/>
    <s v="-"/>
    <s v="-"/>
    <s v="Matowy"/>
    <s v="64 GB eMMc; 1 TB HDD"/>
    <s v="8 GB"/>
    <s v="IntelCore i7-4710MQ "/>
    <s v="2,50 GHz"/>
    <s v="Win 8.1"/>
    <x v="170"/>
    <s v="Pendrive"/>
    <s v="-"/>
    <s v="X7830"/>
    <s v="MS-1763"/>
    <s v="MSI"/>
    <x v="0"/>
    <s v="-"/>
    <n v="3"/>
    <m/>
  </r>
  <r>
    <x v="302"/>
    <s v="-"/>
    <n v="30019222"/>
    <s v="-"/>
    <s v="-"/>
    <s v="Matowy"/>
    <s v=";500 GB HDD"/>
    <s v="4 GB"/>
    <s v="i5-5200U"/>
    <s v="2,2, GHz"/>
    <s v="Win 8.1"/>
    <x v="171"/>
    <s v="HDD / Kieszeń HDD"/>
    <s v="Shipping mode"/>
    <s v="E7416"/>
    <s v="D17D"/>
    <s v="Pegatron"/>
    <x v="1"/>
    <s v="-"/>
    <n v="3"/>
    <m/>
  </r>
  <r>
    <x v="303"/>
    <s v="PNB P1117-I7B1"/>
    <n v="30021087"/>
    <n v="30019324"/>
    <s v="-"/>
    <s v="NON GLARE"/>
    <s v="128 GB SSD; 1 TB HDD"/>
    <s v="12 GB"/>
    <s v="Intel Core i7-5500U "/>
    <s v="2,4 Ghz"/>
    <s v="Win 10"/>
    <x v="172"/>
    <s v="Pendrive"/>
    <s v="-"/>
    <s v="P1117"/>
    <s v="D17D"/>
    <s v="Pegatron"/>
    <x v="1"/>
    <s v="-"/>
    <s v="-"/>
    <m/>
  </r>
  <r>
    <x v="304"/>
    <s v="-"/>
    <n v="30019717"/>
    <s v="-"/>
    <s v="-"/>
    <s v="Touch / NON GLARE"/>
    <s v=";500 GB HDD"/>
    <s v="4 GB"/>
    <s v="Intel Celeron  N2808"/>
    <s v="1,58 GHz"/>
    <s v="Win 8.1"/>
    <x v="165"/>
    <s v="HDD"/>
    <s v="brak Licencja Office 8.1"/>
    <s v="E1232T"/>
    <s v="Skoda"/>
    <s v="Inventec"/>
    <x v="0"/>
    <s v="-"/>
    <n v="1"/>
    <m/>
  </r>
  <r>
    <x v="305"/>
    <s v="PNB P1017-I5B1"/>
    <n v="30021059"/>
    <n v="30019323"/>
    <s v="-"/>
    <s v="NON GLARE"/>
    <s v=";1 TB SSHD"/>
    <s v="8 GB"/>
    <s v="i5-5200U"/>
    <s v="2,2, GHz"/>
    <s v="Win 10"/>
    <x v="172"/>
    <s v="Pendrive"/>
    <s v="-"/>
    <s v="P1017"/>
    <s v="D17D"/>
    <s v="Pegatron"/>
    <x v="1"/>
    <s v="-"/>
    <s v="-"/>
    <m/>
  </r>
  <r>
    <x v="306"/>
    <s v="PNB P1115-I7B1"/>
    <n v="30021058"/>
    <n v="30019317"/>
    <s v="-"/>
    <s v="NON GLARE"/>
    <s v="128 GB SSD; 1 TB HDD"/>
    <s v="12 GB"/>
    <s v="Intel Core i7-5500U "/>
    <s v="2,4 Ghz"/>
    <s v="Win 10"/>
    <x v="124"/>
    <s v="Pendrive"/>
    <s v="wymiana zawiasów, top case  /KB -  BE"/>
    <s v="P1115"/>
    <s v="Polo Aluminium/Plastic"/>
    <s v="Inventec"/>
    <x v="0"/>
    <s v="-"/>
    <s v="-"/>
    <m/>
  </r>
  <r>
    <x v="307"/>
    <s v="PNB C1015-I5B1"/>
    <n v="30021057"/>
    <n v="30019316"/>
    <s v="-"/>
    <s v="NON GLARE"/>
    <s v=";500 GB SSHD"/>
    <s v="6 GB"/>
    <s v="i5-5200U"/>
    <s v="2,2, GHz"/>
    <s v="Win 10"/>
    <x v="154"/>
    <s v="Pendrive"/>
    <s v="wymiana zawiasów, top case  /KB -  BE"/>
    <s v="C1015"/>
    <s v="Polo Aluminium/Plastic"/>
    <s v="Inventec"/>
    <x v="0"/>
    <s v="-"/>
    <s v="-"/>
    <m/>
  </r>
  <r>
    <x v="308"/>
    <s v="-"/>
    <n v="30021195"/>
    <s v="-"/>
    <s v="-"/>
    <s v="Matowy"/>
    <s v="32 GB eMMC;"/>
    <s v="2 GB"/>
    <s v="Atom Z3735F"/>
    <s v="1,33-1,83 Ghz"/>
    <s v="Win 10"/>
    <x v="15"/>
    <s v="Pendrive"/>
    <s v="Zamiast Recovery robimy RE-!!!"/>
    <s v="S2217"/>
    <s v="EF20"/>
    <s v="ECS"/>
    <x v="0"/>
    <s v="-"/>
    <s v="bez"/>
    <m/>
  </r>
  <r>
    <x v="309"/>
    <s v="-"/>
    <n v="30023027"/>
    <s v="-"/>
    <s v="-"/>
    <s v="Touch"/>
    <s v="64 GB eMMC;"/>
    <s v="2 GB"/>
    <s v="Atom Z3735F"/>
    <s v="1,33-1,83 Ghz"/>
    <s v="Win 10"/>
    <x v="173"/>
    <s v="Pendrive"/>
    <s v="Re"/>
    <s v="E2211T"/>
    <s v="WMBT1122"/>
    <s v="Tongfang"/>
    <x v="0"/>
    <s v="-"/>
    <n v="4"/>
    <m/>
  </r>
  <r>
    <x v="310"/>
    <s v="-"/>
    <n v="30019125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4T"/>
    <s v="T11M"/>
    <s v="Pegatron"/>
    <x v="1"/>
    <s v="-"/>
    <n v="1"/>
    <m/>
  </r>
  <r>
    <x v="311"/>
    <s v="-"/>
    <n v="30019223"/>
    <s v="-"/>
    <s v="-"/>
    <s v="Touch /NON GLARE"/>
    <s v=";1 TB HDD"/>
    <s v="4 GB"/>
    <s v="Intel Pentium 3805U "/>
    <s v="1,90 GHz"/>
    <s v="Win 8.1"/>
    <x v="171"/>
    <s v="Kieszeń USB"/>
    <s v="Shipping mode"/>
    <s v="E7416T"/>
    <s v="D17D"/>
    <s v="Pegatron"/>
    <x v="1"/>
    <s v="-"/>
    <n v="3"/>
    <m/>
  </r>
  <r>
    <x v="312"/>
    <s v="-"/>
    <n v="30021203"/>
    <s v="-"/>
    <s v="-"/>
    <s v="Matowy"/>
    <s v=";500 GB HDD"/>
    <s v="4 GB"/>
    <s v="Intel Pentium 3805U "/>
    <s v="1,90 GHz"/>
    <s v="Win 10"/>
    <x v="174"/>
    <s v="Pendrive / HDD"/>
    <s v="sponge/ poron"/>
    <s v="E6416"/>
    <s v="D15D"/>
    <s v="Pegatron"/>
    <x v="1"/>
    <s v="-"/>
    <n v="3"/>
    <m/>
  </r>
  <r>
    <x v="313"/>
    <s v="-"/>
    <s v="30020335, 30024590 (AUS)"/>
    <s v="-"/>
    <s v="-"/>
    <s v="Matowy"/>
    <s v=";1 TB HDD"/>
    <s v="4 GB"/>
    <s v="Intel Pentium 3805U "/>
    <s v="1,90 GHz"/>
    <s v="Win 8.1"/>
    <x v="175"/>
    <s v="Kieszeń / Pendrive"/>
    <s v="sponge/ poron"/>
    <s v="E6416"/>
    <s v="D15D"/>
    <s v="Pegatron"/>
    <x v="1"/>
    <s v="-"/>
    <n v="3"/>
    <m/>
  </r>
  <r>
    <x v="314"/>
    <s v="PNB S1013-I5N1"/>
    <n v="30021101"/>
    <n v="30019463"/>
    <s v="-"/>
    <s v="NON GLARE"/>
    <s v="256 GB SSD;"/>
    <s v="8 GB"/>
    <s v="i5-5200U"/>
    <s v="2,2, GHz"/>
    <s v="Win 10"/>
    <x v="176"/>
    <s v="Pendrive"/>
    <s v="KB - NL"/>
    <s v="S1013"/>
    <s v="MS-13D1"/>
    <s v="MSI"/>
    <x v="0"/>
    <s v="-"/>
    <s v="-"/>
    <m/>
  </r>
  <r>
    <x v="315"/>
    <s v="-"/>
    <n v="30022770"/>
    <s v="-"/>
    <s v="-"/>
    <s v="Matowy"/>
    <s v="32 GB eMMC;"/>
    <s v="2 GB"/>
    <s v="Atom Z3735F"/>
    <s v="1,33-1,83 Ghz"/>
    <s v="Win 10"/>
    <x v="15"/>
    <s v="Pendrive"/>
    <s v="Re"/>
    <s v="S2217"/>
    <s v="EF20"/>
    <s v="ECS"/>
    <x v="0"/>
    <s v="-"/>
    <s v="bez"/>
    <m/>
  </r>
  <r>
    <x v="316"/>
    <s v="-"/>
    <n v="30021822"/>
    <s v="-"/>
    <s v="-"/>
    <s v="Matowy"/>
    <s v="32 GB eMMC;"/>
    <s v="2 GB"/>
    <s v="Atom Z3735F"/>
    <s v="1,33-1,83 Ghz"/>
    <s v="Win 10"/>
    <x v="15"/>
    <s v="Pendrive"/>
    <s v="Zamiast Recovery robimy RE-!!!"/>
    <s v="S2217"/>
    <s v="EF20"/>
    <s v="ECS"/>
    <x v="0"/>
    <s v="-"/>
    <s v="bez"/>
    <m/>
  </r>
  <r>
    <x v="317"/>
    <s v="-"/>
    <n v="30019990"/>
    <s v="-"/>
    <s v="-"/>
    <s v="Matowy"/>
    <s v=";1 TB HDD"/>
    <s v="4 GB"/>
    <s v="i5-5200U"/>
    <s v="2,2, GHz"/>
    <s v="Win 8.1"/>
    <x v="175"/>
    <s v="Kieszeń / Pendrive"/>
    <s v="sponge/ poron"/>
    <s v="E6416"/>
    <s v="D15D"/>
    <s v="Pegatron"/>
    <x v="1"/>
    <s v="-"/>
    <n v="3"/>
    <m/>
  </r>
  <r>
    <x v="318"/>
    <s v="-"/>
    <n v="30019224"/>
    <s v="-"/>
    <s v="-"/>
    <s v="Matowy"/>
    <s v=";500 GB HDD"/>
    <s v="4 GB"/>
    <s v="Intel Core i3-5010U "/>
    <s v="2,10 GHz"/>
    <s v="Win 8.1"/>
    <x v="177"/>
    <s v="HDD"/>
    <s v="sponge/ poron"/>
    <s v="E6416"/>
    <s v="D15D"/>
    <s v="Pegatron"/>
    <x v="1"/>
    <s v="-"/>
    <n v="3"/>
    <m/>
  </r>
  <r>
    <x v="319"/>
    <s v="-"/>
    <n v="30020376"/>
    <s v="-"/>
    <s v="Czarny"/>
    <s v="Matowy 1080p"/>
    <s v="64 GB eMMC;"/>
    <s v="2 GB"/>
    <s v="Atom Z3735F"/>
    <s v="1,33-1,83 Ghz"/>
    <s v="Win 10"/>
    <x v="15"/>
    <s v="Pendrive"/>
    <s v="-"/>
    <s v="S2217"/>
    <s v="EF20"/>
    <s v="ECS"/>
    <x v="0"/>
    <s v="-"/>
    <s v="bez"/>
    <m/>
  </r>
  <r>
    <x v="320"/>
    <s v="-"/>
    <n v="30019718"/>
    <s v="-"/>
    <s v="-"/>
    <s v="Matowy"/>
    <s v=";1 TB HDD"/>
    <s v="4 GB"/>
    <s v="i5-5200U"/>
    <s v="2,2, GHz"/>
    <s v="Win 8.1"/>
    <x v="175"/>
    <s v="Kieszeń / Pendrive"/>
    <s v="sponge/ poron"/>
    <s v="E6416"/>
    <s v="D15D"/>
    <s v="Pegatron"/>
    <x v="1"/>
    <s v="-"/>
    <n v="3"/>
    <m/>
  </r>
  <r>
    <x v="321"/>
    <s v="-"/>
    <n v="30019719"/>
    <s v="-"/>
    <s v="-"/>
    <s v="Matowy"/>
    <s v=";1 TB SSHD"/>
    <s v="4 GB"/>
    <s v="Intel Pentium 3805U "/>
    <s v="1,90 GHz"/>
    <s v="Win 8.1"/>
    <x v="178"/>
    <s v="HDD"/>
    <s v="-"/>
    <s v="-"/>
    <s v="D17D"/>
    <s v="Pegatron"/>
    <x v="1"/>
    <s v="-"/>
    <n v="3"/>
    <m/>
  </r>
  <r>
    <x v="322"/>
    <s v="-"/>
    <n v="30023886"/>
    <s v="-"/>
    <s v="Czarny, gumowany"/>
    <s v="Matowy"/>
    <s v="128 GB SSD; 1 TB HDD"/>
    <s v="16 GB"/>
    <s v="i7-6700HQ"/>
    <s v="2,6 GHz"/>
    <s v="Win 10"/>
    <x v="179"/>
    <s v="Pendrive"/>
    <s v="BIOS: Najpierw odpalić Wmset, Potem z konsoli amin. Flashmewinx64."/>
    <s v="x7841"/>
    <s v="P670 RE1-M"/>
    <s v="Clevo"/>
    <x v="0"/>
    <s v="-"/>
    <n v="3"/>
    <m/>
  </r>
  <r>
    <x v="323"/>
    <s v="-"/>
    <n v="30019730"/>
    <s v="-"/>
    <s v="-"/>
    <s v="Matowy"/>
    <s v=";1 TB HDD"/>
    <s v="4 GB"/>
    <s v="i5-5200U"/>
    <s v="2,2, GHz"/>
    <s v="Win 8.1"/>
    <x v="175"/>
    <s v="Kieszeń / Pendrive "/>
    <s v="sponge/ poron/ img z kieszeni usb 2.0?"/>
    <s v="E6416"/>
    <s v="D15D"/>
    <s v="Pegatron"/>
    <x v="1"/>
    <s v="-"/>
    <n v="3"/>
    <m/>
  </r>
  <r>
    <x v="324"/>
    <s v="-"/>
    <n v="30021204"/>
    <s v="-"/>
    <s v="-"/>
    <s v="Touch/GLARE"/>
    <s v="64 GB eMMC;"/>
    <s v="2 GB"/>
    <s v="Atom Z3735F"/>
    <s v="1,33-1,83 Ghz"/>
    <s v="Win 8.1"/>
    <x v="146"/>
    <s v="Pendrive"/>
    <s v="BIOS!!!"/>
    <s v="E1234T"/>
    <s v="E123xT"/>
    <s v="Bitland"/>
    <x v="0"/>
    <s v="-"/>
    <s v="-"/>
    <m/>
  </r>
  <r>
    <x v="325"/>
    <s v="-"/>
    <n v="30019986"/>
    <s v="-"/>
    <s v="-"/>
    <s v="Matowy"/>
    <s v=";500 GB HDD"/>
    <s v="2 GB"/>
    <s v="Intel Pentium  N3540"/>
    <s v="2,16 GHz"/>
    <s v="Win 8.1"/>
    <x v="147"/>
    <s v="Pendrive / HDD"/>
    <s v="Nowe MB magą się nie włączać dopóki nie poklika się kila razy we włącznik."/>
    <s v="E4214"/>
    <s v="NDBT1401"/>
    <s v="Tongfang"/>
    <x v="0"/>
    <s v="-"/>
    <n v="4"/>
    <m/>
  </r>
  <r>
    <x v="326"/>
    <s v="-"/>
    <n v="30022456"/>
    <s v="-"/>
    <s v="-"/>
    <s v="Matowy"/>
    <s v=";1 TB HDD"/>
    <s v="8 GB"/>
    <s v="Intel Core M 5Y31"/>
    <s v="0,9 GHz "/>
    <s v="Win 10"/>
    <x v="180"/>
    <s v="Pendrive"/>
    <s v="-"/>
    <s v="S6417"/>
    <s v="Golf"/>
    <s v="Inventec"/>
    <x v="0"/>
    <s v="-"/>
    <n v="1"/>
    <m/>
  </r>
  <r>
    <x v="327"/>
    <s v="-"/>
    <n v="30022647"/>
    <s v="-"/>
    <s v="-"/>
    <s v="Matowy"/>
    <s v="256 GB SSD;"/>
    <s v="8 GB"/>
    <s v="Intel Core M 5Y31"/>
    <s v="0,9 GHz "/>
    <s v="Win 10"/>
    <x v="180"/>
    <s v="Pendrive"/>
    <s v="-"/>
    <s v="S6417"/>
    <s v="Golf"/>
    <s v="Inventec"/>
    <x v="0"/>
    <s v="-"/>
    <n v="1"/>
    <m/>
  </r>
  <r>
    <x v="328"/>
    <s v="-"/>
    <n v="30019991"/>
    <s v="-"/>
    <s v="-"/>
    <s v="Matowy"/>
    <s v=";500 GB HDD"/>
    <s v="4 GB"/>
    <s v="Intel Core i3-5010U "/>
    <s v="2,10 GHz"/>
    <s v="Win 10"/>
    <x v="174"/>
    <s v="Pendrive / HDD"/>
    <s v="sponge/ poron"/>
    <s v="E6416"/>
    <s v="D15D"/>
    <s v="Pegatron"/>
    <x v="1"/>
    <s v="-"/>
    <n v="3"/>
    <m/>
  </r>
  <r>
    <x v="329"/>
    <s v="-"/>
    <n v="30019992"/>
    <s v="-"/>
    <s v="-"/>
    <s v="Matowy"/>
    <s v=";1 TB SSHD"/>
    <s v="4 GB"/>
    <s v="i5-5200U"/>
    <s v="2,2, GHz"/>
    <s v="Win 8.1"/>
    <x v="178"/>
    <s v="HDD"/>
    <s v="Shipping mode"/>
    <s v="E7416"/>
    <s v="D17D"/>
    <s v="Pegatron"/>
    <x v="1"/>
    <s v="-"/>
    <n v="3"/>
    <m/>
  </r>
  <r>
    <x v="330"/>
    <s v="-"/>
    <n v="30020397"/>
    <s v="-"/>
    <s v="-"/>
    <s v="GLARE"/>
    <s v="64 GB eMMC;"/>
    <s v="2 GB"/>
    <s v="Atom Z3735F"/>
    <s v="1,33-1,83 Ghz"/>
    <s v="Win 10"/>
    <x v="15"/>
    <s v="Pendrive"/>
    <s v="Zamiast Recovery robimy RE-!!! AUDIO OUT Tylko Słuchawki!"/>
    <s v="S2217"/>
    <s v="EF20"/>
    <s v="ECS"/>
    <x v="0"/>
    <s v="-"/>
    <s v="bez"/>
    <m/>
  </r>
  <r>
    <x v="331"/>
    <s v="-"/>
    <n v="30020164"/>
    <s v="-"/>
    <s v="-"/>
    <s v="GLARE"/>
    <s v="64 GB eMMC;"/>
    <s v="2 GB"/>
    <s v="Atom Z3735F"/>
    <s v="1,33-1,83 Ghz"/>
    <s v="Win 8.1"/>
    <x v="181"/>
    <s v="Pendrive"/>
    <s v="Recovery puszczane z ustawien systemu/ Tylko słuchawki!!!"/>
    <s v="S2218"/>
    <s v="EF20"/>
    <s v="ECS"/>
    <x v="0"/>
    <s v="-"/>
    <s v="bez"/>
    <m/>
  </r>
  <r>
    <x v="332"/>
    <s v="-"/>
    <n v="30022899"/>
    <s v="-"/>
    <s v="-"/>
    <s v="Touch / NON GLARE"/>
    <s v="64 GB eMMC;"/>
    <s v="2 GB"/>
    <s v="Atom Z3735F"/>
    <s v="1,33-1,83 Ghz"/>
    <s v="Win 10"/>
    <x v="182"/>
    <s v="Pendrive"/>
    <s v="Shipping mode"/>
    <s v="E1235T"/>
    <s v="1013B"/>
    <s v="Malata"/>
    <x v="1"/>
    <s v="-"/>
    <n v="4"/>
    <m/>
  </r>
  <r>
    <x v="333"/>
    <s v="-"/>
    <n v="30020537"/>
    <s v="-"/>
    <s v="-"/>
    <s v="GLARE"/>
    <s v="32 GB eMMC;"/>
    <s v="2 GB"/>
    <s v="Atom Z3735F"/>
    <s v="1,33-1,83 Ghz"/>
    <s v="Win 10"/>
    <x v="15"/>
    <s v="Pendrive"/>
    <s v="Zamiast Recovery robimy RE-!!!  AUDIO-OUT Tylko Słuchawki!!"/>
    <s v="S2218"/>
    <s v="EF20"/>
    <s v="ECS"/>
    <x v="0"/>
    <s v="-"/>
    <s v="bez"/>
    <m/>
  </r>
  <r>
    <x v="334"/>
    <s v="-"/>
    <n v="30021778"/>
    <s v="-"/>
    <s v="-"/>
    <s v="Matowy"/>
    <s v="16 GB eMMc;"/>
    <s v="2 GB"/>
    <s v="Rockchip RK3288 Quad-Core Cortex-A17 "/>
    <s v="1,80 GHz"/>
    <s v="Google Chrome OS"/>
    <x v="0"/>
    <s v="Przywracamy oryginalny"/>
    <s v="Przywracamy oryginalny"/>
    <s v="S2013"/>
    <s v="HR-116R"/>
    <s v="Hai"/>
    <x v="0"/>
    <s v="-"/>
    <s v="chromebook"/>
    <m/>
  </r>
  <r>
    <x v="335"/>
    <s v="-"/>
    <n v="30019993"/>
    <s v="-"/>
    <s v="-"/>
    <s v="Matowy"/>
    <s v=";1 TB HDD"/>
    <s v="4 GB"/>
    <s v="i5-5200U"/>
    <s v="2,2, GHz"/>
    <s v="Win 10"/>
    <x v="174"/>
    <s v="Pendrive / HDD"/>
    <s v="sponge/ poron"/>
    <s v="E6416"/>
    <s v="D15D"/>
    <s v="Pegatron"/>
    <x v="1"/>
    <s v="-"/>
    <n v="3"/>
    <m/>
  </r>
  <r>
    <x v="336"/>
    <s v="-"/>
    <n v="30019722"/>
    <s v="-"/>
    <s v="-"/>
    <s v="Touch/GLARE"/>
    <s v="32 GB eMMC;"/>
    <s v="1 GB"/>
    <s v="Intel Atom  Z3735G"/>
    <s v="1,33 GHz"/>
    <s v="Win 10"/>
    <x v="183"/>
    <s v="Pendrive"/>
    <s v="-"/>
    <s v="E8201T"/>
    <s v="I8880"/>
    <s v="Emdoor"/>
    <x v="0"/>
    <s v="-"/>
    <n v="2"/>
    <m/>
  </r>
  <r>
    <x v="337"/>
    <s v="-"/>
    <n v="30020398"/>
    <s v="-"/>
    <s v="-"/>
    <s v="Matowy"/>
    <s v="128 GB SSD; 1 TB HDD"/>
    <s v="6 GB"/>
    <s v="Intel Core i3-5010U "/>
    <s v="2,10 GHz"/>
    <s v="Win 10"/>
    <x v="184"/>
    <s v="Pendrive"/>
    <s v="sponge/ poron"/>
    <s v="P6656"/>
    <s v="D15D"/>
    <s v="Pegatron"/>
    <x v="1"/>
    <s v="-"/>
    <n v="3"/>
    <m/>
  </r>
  <r>
    <x v="338"/>
    <s v="-"/>
    <n v="30020536"/>
    <s v="-"/>
    <s v="-"/>
    <s v="Matowy"/>
    <s v="128 GB SSD; 1 TB HDD"/>
    <s v="6 GB"/>
    <s v="Intel Core i5-5257U "/>
    <s v="2,70 GHz"/>
    <s v="Win 10"/>
    <x v="174"/>
    <s v="Pendrive / HDD"/>
    <s v="Firmware SATA SSD!! (Obowiazkowo) sponge/ poron"/>
    <s v="E6418"/>
    <s v="D15D"/>
    <s v="Pegatron"/>
    <x v="1"/>
    <s v="-"/>
    <n v="3"/>
    <m/>
  </r>
  <r>
    <x v="339"/>
    <s v="-"/>
    <n v="30020535"/>
    <s v="-"/>
    <s v="-"/>
    <s v="Matowy"/>
    <s v="64 GB eMMC;"/>
    <s v="2 GB"/>
    <s v="Atom Z3735F"/>
    <s v="1,33-1,83 Ghz"/>
    <s v="Win 10"/>
    <x v="15"/>
    <s v="Pendrive"/>
    <s v="Zamiast Recovery robimy RE-!!! AUDIO-COMBO(Słuchawki z mikrofonem)!!"/>
    <s v="S2217"/>
    <s v="EF20"/>
    <s v="ECS"/>
    <x v="0"/>
    <s v="-"/>
    <s v="bez"/>
    <m/>
  </r>
  <r>
    <x v="340"/>
    <s v="PNB S1015-I2N2"/>
    <n v="30022968"/>
    <n v="30019851"/>
    <s v="-"/>
    <s v="NON GLARE"/>
    <s v=";500 GB SSHD"/>
    <s v="4 GB"/>
    <s v="Intel Pentium  N3540"/>
    <s v="2,16 GHz"/>
    <s v="Win 10"/>
    <x v="152"/>
    <s v="Pendrive"/>
    <s v="KB - NL"/>
    <s v="S6217 "/>
    <s v="GOLF Plus"/>
    <s v="Inventec"/>
    <x v="0"/>
    <s v="-"/>
    <n v="1"/>
    <m/>
  </r>
  <r>
    <x v="341"/>
    <s v="-"/>
    <n v="30020645"/>
    <s v="-"/>
    <s v="-"/>
    <s v="Matowy"/>
    <s v=";500 GB HDD"/>
    <s v="4 GB"/>
    <s v="Celeron 3215U"/>
    <s v="1,70 Ghz"/>
    <s v="Win 10"/>
    <x v="174"/>
    <s v="Pendrive / HDD"/>
    <s v="Shipping mode"/>
    <s v="E7416"/>
    <s v="D17D"/>
    <s v="Pegatron"/>
    <x v="1"/>
    <s v="-"/>
    <n v="3"/>
    <m/>
  </r>
  <r>
    <x v="342"/>
    <s v="-"/>
    <n v="30020796"/>
    <s v="-"/>
    <s v="-"/>
    <s v="Matowy"/>
    <s v="256 GB SSD; 1 TB HDD"/>
    <s v="8 GB"/>
    <s v="i7-6500U"/>
    <s v="2,5-3,1 Ghz"/>
    <s v="Win 10"/>
    <x v="20"/>
    <s v="Pendrive"/>
    <s v="Shipping mode"/>
    <s v="P7644"/>
    <s v="D17S"/>
    <s v="Pegatron"/>
    <x v="1"/>
    <s v="-"/>
    <n v="3"/>
    <m/>
  </r>
  <r>
    <x v="343"/>
    <s v="-"/>
    <n v="30021124"/>
    <s v="-"/>
    <s v="-"/>
    <s v="Matowy"/>
    <s v=";500 GB HDD"/>
    <s v="2 GB"/>
    <s v="Pentium N3700"/>
    <s v="1,6-2,4 Ghz"/>
    <s v="Win 10"/>
    <x v="9"/>
    <s v="Pendrive"/>
    <s v="Nowe MB magą się nie włączać dopóki nie poklika się kila razy we włącznik."/>
    <s v="S4220"/>
    <s v="NSBW1x02"/>
    <s v="Tongfang"/>
    <x v="0"/>
    <s v="-"/>
    <n v="4"/>
    <m/>
  </r>
  <r>
    <x v="344"/>
    <s v="-"/>
    <n v="30023050"/>
    <s v="-"/>
    <s v="-"/>
    <s v="Touch/GLARE"/>
    <s v="32 GB eMMC;"/>
    <s v="2 GB"/>
    <s v="Atom Z3735F"/>
    <s v="1,33-1,83 Ghz"/>
    <s v="Win 10"/>
    <x v="185"/>
    <s v="Pendrive"/>
    <s v="-"/>
    <s v="S1219T"/>
    <s v="M1042"/>
    <s v="CZC"/>
    <x v="0"/>
    <s v="-"/>
    <s v="-"/>
    <m/>
  </r>
  <r>
    <x v="345"/>
    <s v="-"/>
    <n v="30022772"/>
    <s v="-"/>
    <s v="-"/>
    <s v="Matowy"/>
    <s v=";1 TB HDD"/>
    <s v="4 GB"/>
    <s v="Intel Pentium 3825U "/>
    <s v="1,90 GHz"/>
    <s v="Win 10"/>
    <x v="30"/>
    <s v="Pendrive"/>
    <s v="sponge/ poron"/>
    <s v="E6416"/>
    <s v="D15D"/>
    <s v="Pegatron"/>
    <x v="1"/>
    <s v="-"/>
    <n v="3"/>
    <m/>
  </r>
  <r>
    <x v="346"/>
    <s v="NB PEAQ PNB P1115 MD99671 NL REF"/>
    <n v="30021103"/>
    <n v="30019882"/>
    <s v="-"/>
    <s v="NON GLARE"/>
    <s v=";500 GB SSHD"/>
    <s v="4 GB"/>
    <s v="Intel Core TM i3 5005U"/>
    <s v="2,0 Ghz"/>
    <s v="Win 10"/>
    <x v="186"/>
    <s v="Pendrive"/>
    <s v="wymiana zawiasów, top case  /KB - NL"/>
    <s v="P1115"/>
    <s v="Polo Aluminium/Plastic"/>
    <s v="Inventec"/>
    <x v="0"/>
    <s v="-"/>
    <s v="-"/>
    <m/>
  </r>
  <r>
    <x v="347"/>
    <s v="NB PEAQ P1115 ALU MD99672 CH REF"/>
    <n v="30022969"/>
    <n v="30019848"/>
    <s v="-"/>
    <s v="NON GLARE"/>
    <s v="256 GB SSD; 500 GB HDD"/>
    <s v="8 GB"/>
    <s v="Intel Core TM i3 5020U"/>
    <s v="2,2 Ghz"/>
    <s v="Win 10"/>
    <x v="187"/>
    <s v="Pendrive"/>
    <s v="wymiana zawiasów, top case  /KB - CH"/>
    <s v="P1115"/>
    <s v="Polo Aluminium/Plastic"/>
    <s v="Inventec"/>
    <x v="0"/>
    <s v="-"/>
    <s v="-"/>
    <m/>
  </r>
  <r>
    <x v="348"/>
    <s v="PNB P2017–I7C1"/>
    <n v="30023000"/>
    <n v="30019849"/>
    <s v="-"/>
    <s v="NON GLARE"/>
    <s v=";1 TB SSHD"/>
    <s v="12 GB"/>
    <s v="i7-6500U"/>
    <s v="2,5-3,1 Ghz"/>
    <s v="Win 10"/>
    <x v="188"/>
    <s v="Pendrive"/>
    <s v="KB - CH"/>
    <s v="P2017"/>
    <s v="D17S"/>
    <s v="Pegatron"/>
    <x v="1"/>
    <s v="-"/>
    <s v="-"/>
    <m/>
  </r>
  <r>
    <x v="349"/>
    <s v="NB PEAQ PNB C1011 MD99674 CH REF"/>
    <n v="30023001"/>
    <n v="30019900"/>
    <s v="-"/>
    <s v="NON GLARE ?"/>
    <s v="64 GB eMMC;"/>
    <s v="2 GB"/>
    <s v="Atom Z3735F"/>
    <s v="1,33-1,83 Ghz"/>
    <s v="Win 10"/>
    <x v="189"/>
    <s v="Pendrive"/>
    <s v="KB -CH  /  zamiast recovery re"/>
    <s v="C1011"/>
    <s v="EF20"/>
    <s v="ECS"/>
    <x v="0"/>
    <s v="-"/>
    <s v="-"/>
    <m/>
  </r>
  <r>
    <x v="350"/>
    <s v="-"/>
    <n v="30020746"/>
    <s v="-"/>
    <s v="-"/>
    <s v="Matowy"/>
    <s v="128 GB SSD; 1 TB HDD"/>
    <s v="4 GB"/>
    <s v="Intel Core i3-6100U "/>
    <s v="2,30 Ghz"/>
    <s v="Win 10"/>
    <x v="29"/>
    <s v="Pendrive"/>
    <s v="Firmware SATA SSD!! (Obowiazkowo) sponge/ poron"/>
    <s v="E6422"/>
    <s v="D15S"/>
    <s v="Pegatron"/>
    <x v="1"/>
    <s v="-"/>
    <n v="3"/>
    <m/>
  </r>
  <r>
    <x v="351"/>
    <s v="PNB C1015-I3C1"/>
    <n v="30023002"/>
    <n v="30019959"/>
    <s v="-"/>
    <s v="NON GLARE"/>
    <s v=";1 TB HDD"/>
    <s v="6 GB"/>
    <s v="Intel Core TM i3 5005U"/>
    <s v="2,0 Ghz"/>
    <s v="Win 10"/>
    <x v="186"/>
    <s v="Pendrive"/>
    <s v="wymiana zawiasów, top case  / KB - CH"/>
    <s v="C1015"/>
    <s v="Polo Aluminium/Plastic"/>
    <s v="Inventec"/>
    <x v="0"/>
    <s v="-"/>
    <s v="-"/>
    <m/>
  </r>
  <r>
    <x v="352"/>
    <s v="NB IEC Polo PNB C1015 PEAQ MD99688 NL Ref"/>
    <n v="30021031"/>
    <n v="30019938"/>
    <s v="-"/>
    <s v="NON GLARE"/>
    <s v=";1 TB HDD"/>
    <s v="6 GB"/>
    <s v="Intel PentiumCPU 3825U"/>
    <s v="1,9 GHz"/>
    <s v="Win 10"/>
    <x v="186"/>
    <s v="Pendrive"/>
    <s v="wymiana zawiasów, top case  / KB-NL / sprawdzić czy jestHDD BAY !"/>
    <s v="E6419"/>
    <s v="Polo Aluminium/Plastic"/>
    <s v="Inventec"/>
    <x v="0"/>
    <s v="-"/>
    <s v="-"/>
    <m/>
  </r>
  <r>
    <x v="353"/>
    <s v="-"/>
    <n v="30024302"/>
    <s v="-"/>
    <s v="Srebrny"/>
    <s v="Matowy"/>
    <s v=";1 TB HDD"/>
    <s v="4 GB"/>
    <s v="Celeron N2840"/>
    <s v="2,6 Ghz"/>
    <s v="Win 10"/>
    <x v="98"/>
    <s v="Pendrive"/>
    <s v="-"/>
    <s v="E6239"/>
    <s v="C15M"/>
    <s v="Pegatron"/>
    <x v="0"/>
    <n v="40050731"/>
    <n v="3"/>
    <m/>
  </r>
  <r>
    <x v="354"/>
    <s v="-"/>
    <n v="30021569"/>
    <s v="-"/>
    <s v="-"/>
    <s v="Matowy"/>
    <s v="128 GB SSD; 500 GB HDD"/>
    <s v="4 GB"/>
    <s v="IntelCore i7-6700HQ "/>
    <s v="2,6 GHz"/>
    <s v="Win 10"/>
    <x v="190"/>
    <s v="Pendrive"/>
    <s v="Firmware SATA SSD!! (Obowiazkowo)"/>
    <s v="X7842"/>
    <s v="P670 RE1-M"/>
    <s v="Clevo"/>
    <x v="0"/>
    <s v="-"/>
    <n v="3"/>
    <m/>
  </r>
  <r>
    <x v="355"/>
    <s v="-"/>
    <n v="30021125"/>
    <s v="-"/>
    <s v="-"/>
    <s v="Touch / GLARE"/>
    <s v="64 GB eMMC;"/>
    <s v="2 GB"/>
    <s v="Atom Z3735F"/>
    <s v="1,33-1,83 Ghz"/>
    <s v="Win 10"/>
    <x v="191"/>
    <s v="Pendrive"/>
    <s v="Zamiast Recovery robimy RE-!!!"/>
    <s v="E2212T"/>
    <s v="WMBT1122"/>
    <s v="Tongfang"/>
    <x v="0"/>
    <s v="-"/>
    <n v="4"/>
    <m/>
  </r>
  <r>
    <x v="356"/>
    <s v="-"/>
    <n v="30024157"/>
    <s v="-"/>
    <s v="Biały"/>
    <s v="Matowy 1080p"/>
    <s v=";500 GB HDD"/>
    <s v="2 GB"/>
    <s v="Celeron N3050"/>
    <s v="1,6-2,16 Ghz"/>
    <s v="Win 10"/>
    <x v="192"/>
    <s v="Pendrive"/>
    <s v="EC"/>
    <s v="S4219"/>
    <s v="NSBW1x02"/>
    <s v="Tongfang"/>
    <x v="0"/>
    <s v="-"/>
    <n v="4"/>
    <m/>
  </r>
  <r>
    <x v="357"/>
    <s v="-"/>
    <n v="30020797"/>
    <s v="-"/>
    <s v="Srebrny"/>
    <s v="Matowy"/>
    <s v="128 GB SSD; 1 TB HDD"/>
    <s v="6 GB"/>
    <s v="Intel Core i3-6100U "/>
    <s v="2,30 Ghz"/>
    <s v="Win 10"/>
    <x v="29"/>
    <s v="Pendrive"/>
    <s v="Firmware SATA SSD!! (Obowiazkowo) / Shipping mode"/>
    <s v="E7420"/>
    <s v="D17S"/>
    <s v="Pegatron"/>
    <x v="1"/>
    <s v="-"/>
    <n v="3"/>
    <m/>
  </r>
  <r>
    <x v="358"/>
    <s v="-"/>
    <n v="30022778"/>
    <s v="-"/>
    <s v="-"/>
    <s v="Matowy"/>
    <s v=";500 GB HDD"/>
    <s v="4 GB"/>
    <s v="Intel Core i3-5010U"/>
    <s v="2,10 GHz"/>
    <s v="Win 10"/>
    <x v="30"/>
    <s v="Pendrive USB 2.0"/>
    <s v="sponge/ poron"/>
    <s v="E6416"/>
    <s v=" D15D"/>
    <s v="Pegatron"/>
    <x v="1"/>
    <s v="-"/>
    <n v="3"/>
    <m/>
  </r>
  <r>
    <x v="359"/>
    <s v="-"/>
    <n v="30021004"/>
    <s v="-"/>
    <s v="-"/>
    <s v="Touch / GLARE"/>
    <s v="64 GB eMMC;"/>
    <s v="2 GB"/>
    <s v="Atom Z3735F"/>
    <s v="1,33-1,83 Ghz"/>
    <s v="Win 10"/>
    <x v="191"/>
    <s v="Pendrive"/>
    <s v="Zamiast Recovery robimy RE-!!!"/>
    <s v="E2212T"/>
    <s v="WMBT1122"/>
    <s v="Tongfang"/>
    <x v="0"/>
    <s v="-"/>
    <n v="4"/>
    <m/>
  </r>
  <r>
    <x v="360"/>
    <s v="-"/>
    <n v="30022457"/>
    <s v="-"/>
    <s v="-"/>
    <s v="Touch/GLARE"/>
    <s v="32 GB eMMC;"/>
    <s v="1 GB"/>
    <s v="Intel Atom  Z3735G"/>
    <s v="1,33 GHz"/>
    <s v="Win 10"/>
    <x v="183"/>
    <s v="Pendrive"/>
    <s v="HUB ; KB - re zamiast recovery"/>
    <s v="E8201T"/>
    <s v="I8880"/>
    <s v="Emdoor"/>
    <x v="0"/>
    <s v="-"/>
    <n v="2"/>
    <m/>
  </r>
  <r>
    <x v="361"/>
    <s v="-"/>
    <n v="30021765"/>
    <s v="-"/>
    <s v="-"/>
    <s v="Błyszczący"/>
    <s v="64 GB eMMC;"/>
    <s v="2 GB"/>
    <s v="Atom Z3735F"/>
    <s v="1,33-1,83 Ghz"/>
    <s v="Win 10"/>
    <x v="15"/>
    <s v="Pendrive"/>
    <s v="Zamiast Recovery robimy RE-!!! "/>
    <s v="S2218"/>
    <s v="EF20"/>
    <s v="ECS"/>
    <x v="0"/>
    <s v="-"/>
    <s v="bez"/>
    <m/>
  </r>
  <r>
    <x v="362"/>
    <s v="-"/>
    <n v="30022186"/>
    <s v="-"/>
    <s v="-"/>
    <s v="Matowy"/>
    <s v=";1 TB SSHD"/>
    <s v="8 GB"/>
    <s v="i5-6200U"/>
    <s v="2,3-2,8 GHz"/>
    <s v="Win 10"/>
    <x v="193"/>
    <s v="Pendrive"/>
    <s v="sponge/ poron"/>
    <s v="P6661"/>
    <s v="D15S"/>
    <s v="Pegatron"/>
    <x v="1"/>
    <s v="-"/>
    <n v="3"/>
    <m/>
  </r>
  <r>
    <x v="363"/>
    <s v="-"/>
    <n v="30021206"/>
    <s v="-"/>
    <s v="-"/>
    <s v="Touch/GLARE"/>
    <s v="32 GB eMMC;"/>
    <s v="1 GB"/>
    <s v="Intel Atom  Z3735G"/>
    <s v="1,33 GHz"/>
    <s v="Win 10"/>
    <x v="183"/>
    <s v="Pendrive"/>
    <s v="HUB ; KB - re zamiast recovery"/>
    <s v="E8201T"/>
    <s v="I8880"/>
    <s v="Emdoor"/>
    <x v="0"/>
    <s v="-"/>
    <n v="2"/>
    <m/>
  </r>
  <r>
    <x v="364"/>
    <s v="-"/>
    <n v="30022458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x v="0"/>
    <s v="-"/>
    <n v="4"/>
    <m/>
  </r>
  <r>
    <x v="365"/>
    <s v="-"/>
    <n v="30020146"/>
    <s v="-"/>
    <s v="-"/>
    <s v="Touch/GLARE"/>
    <s v="64 GB eMMC;"/>
    <s v="2 GB"/>
    <s v="Atom Z3735F"/>
    <s v="1,33-1,83 Ghz"/>
    <s v="Win 10"/>
    <x v="156"/>
    <s v="Pendrive"/>
    <s v="-"/>
    <s v="S1219T"/>
    <s v="M1042"/>
    <s v="CZC"/>
    <x v="0"/>
    <s v="-"/>
    <s v="-"/>
    <m/>
  </r>
  <r>
    <x v="366"/>
    <s v="-"/>
    <n v="30022459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x v="0"/>
    <s v="-"/>
    <n v="4"/>
    <m/>
  </r>
  <r>
    <x v="367"/>
    <s v="-"/>
    <n v="30022570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x v="0"/>
    <s v="-"/>
    <n v="4"/>
    <m/>
  </r>
  <r>
    <x v="368"/>
    <s v="-"/>
    <n v="30021126"/>
    <s v="-"/>
    <s v="-"/>
    <s v="Matowy"/>
    <s v=";1 TB SSHD"/>
    <s v="4 GB"/>
    <s v="Intel Core i3-6100U "/>
    <s v="2,30 GHz"/>
    <s v="Win 10"/>
    <x v="3"/>
    <s v="Pendrive"/>
    <s v="sponge/ poron"/>
    <s v="P6660"/>
    <s v="D15S"/>
    <s v="Pegatron"/>
    <x v="1"/>
    <s v="-"/>
    <n v="3"/>
    <m/>
  </r>
  <r>
    <x v="369"/>
    <s v="C1015-I2N4"/>
    <n v="30023003"/>
    <n v="30020216"/>
    <s v="-"/>
    <s v="NON GLARE"/>
    <s v=";1 TB HDD"/>
    <s v="6 GB"/>
    <s v="Intel PentiumCPU 3825U"/>
    <s v="1,9 GHz"/>
    <s v="Win 10"/>
    <x v="186"/>
    <s v="Pendrive"/>
    <s v="wymiana zawiasów, top case  / KB -NL / sprawdzić czy jestHDD BAY !"/>
    <s v="E6419"/>
    <s v="Polo Aluminium/Plastic"/>
    <s v="Inventec"/>
    <x v="0"/>
    <s v="-"/>
    <s v="-"/>
    <m/>
  </r>
  <r>
    <x v="370"/>
    <s v="PNB S1415-I1C"/>
    <n v="30024166"/>
    <n v="30020226"/>
    <s v="-"/>
    <s v="Matowy 1080p"/>
    <s v=";1 TB HDD"/>
    <s v="4 GB"/>
    <s v="Celeron N3050"/>
    <s v="1,6-2,16 Ghz"/>
    <s v="Win 10"/>
    <x v="195"/>
    <s v="Pendrive"/>
    <s v="kb - CH"/>
    <s v="S6219"/>
    <s v="NSBW1x02"/>
    <s v="Tongfang"/>
    <x v="0"/>
    <s v="-"/>
    <s v="-"/>
    <m/>
  </r>
  <r>
    <x v="371"/>
    <s v="PNB S1414-I1C1S"/>
    <n v="30024167"/>
    <n v="30020220"/>
    <s v="-"/>
    <s v="Matowy"/>
    <s v="128 GB SSD; 500 GB HDD"/>
    <s v="4 GB"/>
    <s v="Pentium N3700"/>
    <s v="1,6-2,4 Ghz"/>
    <s v="Win 10"/>
    <x v="195"/>
    <s v="Pendrive"/>
    <s v="kb - CH"/>
    <s v="S4219"/>
    <s v="NSBW1x02"/>
    <s v="Tongfang"/>
    <x v="0"/>
    <s v="-"/>
    <s v="-"/>
    <m/>
  </r>
  <r>
    <x v="372"/>
    <s v="PNB P1115-I7B2"/>
    <n v="30023713"/>
    <n v="30020244"/>
    <s v="-"/>
    <s v="Matowy"/>
    <s v="128 GB SSD; 1 TB HDD"/>
    <s v="16 GB"/>
    <s v="i7-5500U"/>
    <s v="2,4 Ghz"/>
    <s v="Win 10"/>
    <x v="196"/>
    <s v="Pendrive"/>
    <s v="KB - BE,  Wymiana zawiasów."/>
    <s v="P1115"/>
    <s v="Polo Aluminium/Plastic"/>
    <s v="Inventec"/>
    <x v="0"/>
    <s v="-"/>
    <s v="-"/>
    <m/>
  </r>
  <r>
    <x v="373"/>
    <s v="PNB C1015-I3B1"/>
    <n v="30023714"/>
    <n v="30020246"/>
    <s v="-"/>
    <s v="Matowy"/>
    <s v=";1 TB HDD"/>
    <s v="6 GB"/>
    <s v="i3-5005U"/>
    <s v="2 Ghz"/>
    <s v="Win 10"/>
    <x v="186"/>
    <s v="Pendrive"/>
    <s v="KB - BE, HINGE"/>
    <s v="C1015"/>
    <s v="Polo Aluminium/Plastic"/>
    <s v="Inventec"/>
    <x v="0"/>
    <s v="-"/>
    <s v="-"/>
    <m/>
  </r>
  <r>
    <x v="374"/>
    <s v="-"/>
    <n v="30022253"/>
    <s v="-"/>
    <s v="-"/>
    <s v="Matowy"/>
    <s v=";500 GB HDD"/>
    <s v="2 GB"/>
    <s v="Pentium N3700"/>
    <s v="1,6-2,4 Ghz"/>
    <s v="Win 10"/>
    <x v="9"/>
    <s v="Pendrive"/>
    <s v="Nowe MB magą się nie włączać dopóki nie poklika się kila razy we włącznik."/>
    <s v="S4220"/>
    <s v="NSBW1x02"/>
    <s v="Tongfang"/>
    <x v="0"/>
    <s v="-"/>
    <n v="4"/>
    <m/>
  </r>
  <r>
    <x v="375"/>
    <s v="PNB S1414-I1B1"/>
    <n v="30023740"/>
    <n v="30020247"/>
    <s v="-"/>
    <s v="Matowy"/>
    <s v="32 GB eMMC;"/>
    <s v="2 GB"/>
    <s v="Celeron N3150"/>
    <s v="1,6-2,08 Ghz"/>
    <s v="Win 10"/>
    <x v="197"/>
    <s v="Pendrive"/>
    <s v="Kb - BE"/>
    <s v="S1414"/>
    <s v="NSBW1x02"/>
    <s v="Tongfang"/>
    <x v="0"/>
    <s v="-"/>
    <s v="-"/>
    <m/>
  </r>
  <r>
    <x v="376"/>
    <s v="PNB S1414-I1B1 S"/>
    <n v="30024168"/>
    <n v="30020248"/>
    <s v="-"/>
    <s v="Matowy"/>
    <s v="32 GB eMMC; 500 GB HDD"/>
    <s v="2 GB"/>
    <s v="Celeron N3150"/>
    <s v="1,6-2,08 Ghz"/>
    <s v="Win 10"/>
    <x v="197"/>
    <s v="Pendrive"/>
    <s v="BE"/>
    <s v="S1414"/>
    <s v="NSBW1x02"/>
    <s v="Tongfang"/>
    <x v="0"/>
    <s v="-"/>
    <s v="-"/>
    <m/>
  </r>
  <r>
    <x v="377"/>
    <s v="PMM C1010-I01B2"/>
    <n v="30023110"/>
    <n v="30020249"/>
    <s v="-"/>
    <s v="Touch/GLARE"/>
    <s v="64 GB eMMC;"/>
    <s v="2 GB"/>
    <s v="Atom Z3735F"/>
    <s v="1,33-1,83 Ghz"/>
    <s v="Win 10"/>
    <x v="150"/>
    <s v="Pendrive"/>
    <s v="KB -  BE /  zamiast recovery re"/>
    <s v="C1010"/>
    <s v="WMBT1031"/>
    <s v="Tongfang"/>
    <x v="0"/>
    <s v="-"/>
    <s v="-"/>
    <m/>
  </r>
  <r>
    <x v="378"/>
    <s v="PNB C1011-I0B2"/>
    <n v="30023922"/>
    <n v="30020270"/>
    <s v="-"/>
    <s v="Matowy"/>
    <s v="64 GB eMMC;"/>
    <s v="2 GB"/>
    <s v="Atom Z3735F"/>
    <s v="1,33-1,83 Ghz"/>
    <s v="Win 10"/>
    <x v="24"/>
    <s v="Pendrive"/>
    <s v="KB - BE"/>
    <s v="C1011"/>
    <s v="EF20"/>
    <s v="ECS"/>
    <x v="0"/>
    <s v="-"/>
    <s v="-"/>
    <m/>
  </r>
  <r>
    <x v="379"/>
    <s v="-"/>
    <n v="30021600"/>
    <s v="-"/>
    <s v="-"/>
    <s v="Matowy"/>
    <s v=";500 GB HDD"/>
    <s v="2 GB"/>
    <s v="Pentium N3700"/>
    <s v="1,6-2,4 Ghz"/>
    <s v="Win 10"/>
    <x v="9"/>
    <s v="Pendrive"/>
    <s v="Nowe MB magą się nie włączać dopóki nie poklika się kila razy we włącznik."/>
    <s v="S4220"/>
    <s v="NSBW1x02"/>
    <s v="Tongfang"/>
    <x v="0"/>
    <s v="-"/>
    <n v="4"/>
    <m/>
  </r>
  <r>
    <x v="380"/>
    <s v="-"/>
    <n v="30021601"/>
    <s v="-"/>
    <s v="-"/>
    <s v="Matowy"/>
    <s v=";500 GB HDD"/>
    <s v="4 GB"/>
    <s v="Intel Celeron 3855U"/>
    <s v="1,6 GHz"/>
    <s v="Win 10"/>
    <x v="8"/>
    <s v="Pendrive"/>
    <s v="Shipping mode"/>
    <s v="E7420"/>
    <s v="D17S"/>
    <s v="Pegatron"/>
    <x v="1"/>
    <s v="-"/>
    <n v="3"/>
    <m/>
  </r>
  <r>
    <x v="381"/>
    <s v="-"/>
    <n v="30022550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x v="0"/>
    <s v="-"/>
    <n v="4"/>
    <m/>
  </r>
  <r>
    <x v="382"/>
    <s v="-"/>
    <n v="30022571"/>
    <s v="-"/>
    <s v="-"/>
    <s v="Touch / NON GLARE"/>
    <s v="64 GB eMMC;"/>
    <s v="2 GB"/>
    <s v="Atom Z3735F"/>
    <s v="1,33-1,83 Ghz"/>
    <s v="Win 10"/>
    <x v="182"/>
    <s v="Pendrive"/>
    <s v="Zamiast Recovery robimy RE-!!! / Shipping mode"/>
    <s v="E1235T"/>
    <s v="1013B"/>
    <s v="Malata"/>
    <x v="1"/>
    <s v="-"/>
    <n v="4"/>
    <m/>
  </r>
  <r>
    <x v="383"/>
    <s v="-"/>
    <n v="30023166"/>
    <s v="-"/>
    <s v="-"/>
    <s v="Matowy"/>
    <s v=";500 GB SSD"/>
    <s v="8 GB"/>
    <s v="i7-6500U"/>
    <s v="2,5-3,1 Ghz"/>
    <s v="Win 10"/>
    <x v="20"/>
    <s v="Pendrive"/>
    <s v="sponge/ poron"/>
    <s v="P6661"/>
    <s v="D15S"/>
    <s v="Pegatron"/>
    <x v="1"/>
    <s v="-"/>
    <n v="3"/>
    <m/>
  </r>
  <r>
    <x v="384"/>
    <s v="-"/>
    <n v="30021602"/>
    <s v="-"/>
    <s v="-"/>
    <s v="GLARE"/>
    <s v="128 GB SSD; 1 TB HDD"/>
    <s v="6 GB"/>
    <s v="i5-6267U"/>
    <s v="2,90 Ghz"/>
    <s v="Win 10"/>
    <x v="8"/>
    <s v="Pendrive"/>
    <s v="Firmware SATA SSD!! (Obowiazkowo) sponge/ poron"/>
    <s v="E6424"/>
    <s v="D15S"/>
    <s v="Pegatron"/>
    <x v="1"/>
    <s v="-"/>
    <n v="3"/>
    <m/>
  </r>
  <r>
    <x v="385"/>
    <s v="-"/>
    <n v="30022779"/>
    <s v="-"/>
    <s v="-"/>
    <s v="Matowy"/>
    <s v=";1 TB HDD"/>
    <s v="8 GB"/>
    <s v="i5-6200U"/>
    <s v="2,3-2,8 GHz"/>
    <s v="Win 10"/>
    <x v="3"/>
    <s v="Pendrive"/>
    <s v="Shipping mode"/>
    <s v="P7641"/>
    <s v="D17S"/>
    <s v="Pegatron"/>
    <x v="1"/>
    <s v="-"/>
    <n v="3"/>
    <m/>
  </r>
  <r>
    <x v="386"/>
    <s v="-"/>
    <n v="30021347"/>
    <s v="-"/>
    <s v="-"/>
    <s v="Matowy"/>
    <s v="128 GB SSD; 1 TB HDD"/>
    <s v="6 GB"/>
    <s v="i5-6200U"/>
    <s v="2,3-2,8 GHz"/>
    <s v="Win 10"/>
    <x v="193"/>
    <s v="Pendrive"/>
    <s v="Firmware SATA SSD!! (Obowiazkowo) , Substytut SSD 256 GB"/>
    <s v="P7641"/>
    <s v="D17S"/>
    <s v="Pegatron"/>
    <x v="1"/>
    <s v="-"/>
    <n v="3"/>
    <m/>
  </r>
  <r>
    <x v="387"/>
    <s v="-"/>
    <n v="30022572"/>
    <s v="-"/>
    <s v="-"/>
    <s v="Matowy"/>
    <s v="128 GB SSD; 1 TB HDD"/>
    <s v="8 GB"/>
    <s v="i7-6500U"/>
    <s v="2,5-3,1 Ghz"/>
    <s v="Win 10"/>
    <x v="14"/>
    <s v="Pendrive"/>
    <s v="Shipping mode"/>
    <s v="P7641"/>
    <s v="D17S"/>
    <s v="Pegatron"/>
    <x v="1"/>
    <s v="-"/>
    <n v="3"/>
    <m/>
  </r>
  <r>
    <x v="388"/>
    <s v="-"/>
    <n v="30022255"/>
    <s v="-"/>
    <s v="-"/>
    <s v="Matowy"/>
    <s v="128 GB SSD; 1 TB HDD"/>
    <s v="8 GB"/>
    <s v="i5-6200U"/>
    <s v="2,3-2,8 GHz"/>
    <s v="Win 10"/>
    <x v="193"/>
    <s v="Pendrive"/>
    <s v="Shipping mode"/>
    <s v="P7643"/>
    <s v="D17S"/>
    <s v="Pegatron"/>
    <x v="1"/>
    <s v="-"/>
    <n v="3"/>
    <m/>
  </r>
  <r>
    <x v="389"/>
    <s v="-"/>
    <n v="30022256"/>
    <s v="-"/>
    <s v="-"/>
    <s v="Matowy"/>
    <s v="128 GB SSD; 1 TB HDD"/>
    <s v="8 GB"/>
    <s v="i7-6500U"/>
    <s v="2,5-3,1 Ghz"/>
    <s v="Win 10"/>
    <x v="193"/>
    <s v="Pendrive"/>
    <s v="Shipping mode"/>
    <s v="P7643"/>
    <s v="D17S"/>
    <s v="Pegatron"/>
    <x v="1"/>
    <s v="-"/>
    <n v="3"/>
    <m/>
  </r>
  <r>
    <x v="390"/>
    <s v="-"/>
    <n v="30022314"/>
    <s v="-"/>
    <s v="-"/>
    <s v="Touch / NON GLARE"/>
    <s v="64 GB eMMC;"/>
    <s v="2 GB"/>
    <s v="Atom X5-Z8350"/>
    <s v="1,44 - 1,92 Ghz"/>
    <s v="Win 10"/>
    <x v="11"/>
    <s v="Pendrive"/>
    <s v="Zamiast Recovery robimy RE-!!!"/>
    <s v="E1240T"/>
    <s v="3165 3ND"/>
    <s v="Wingman"/>
    <x v="0"/>
    <s v="-"/>
    <n v="2"/>
    <m/>
  </r>
  <r>
    <x v="391"/>
    <s v="-"/>
    <n v="30024158"/>
    <s v="-"/>
    <s v="Czarny"/>
    <s v="Matowy"/>
    <s v="32 GB eMMC;"/>
    <s v="2 GB"/>
    <s v="Atom Z3735F"/>
    <s v="1,33-1,83 Ghz"/>
    <s v="Win 10"/>
    <x v="15"/>
    <s v="Pendrive"/>
    <s v="-"/>
    <s v="S2217"/>
    <s v="EF20"/>
    <s v="ECS"/>
    <x v="0"/>
    <s v="-"/>
    <s v="bez"/>
    <m/>
  </r>
  <r>
    <x v="392"/>
    <s v="-"/>
    <n v="30022553"/>
    <s v="-"/>
    <s v="-"/>
    <s v="Matowy"/>
    <s v=";500 GB HDD"/>
    <s v="4 GB"/>
    <s v="Intel Mobile Celeron N3150"/>
    <s v="1,60 GHz"/>
    <s v="Win 10"/>
    <x v="9"/>
    <s v="Pendrive"/>
    <s v="Nowe MB magą się nie włączać dopóki nie poklika się kila razy we włącznik."/>
    <s v="S6219"/>
    <s v="NSBW1x02"/>
    <s v="Tongfang"/>
    <x v="0"/>
    <s v="-"/>
    <n v="4"/>
    <m/>
  </r>
  <r>
    <x v="393"/>
    <s v="-"/>
    <n v="30022226"/>
    <s v="-"/>
    <s v="-"/>
    <s v="Matowy"/>
    <s v=";500 GB HDD"/>
    <s v="4 GB"/>
    <s v="Pentium 4405U"/>
    <s v="2,10 GHz"/>
    <s v="Win 10"/>
    <x v="29"/>
    <s v="Pendrive"/>
    <s v="sponge/ poron"/>
    <s v="E6421"/>
    <s v="D15S"/>
    <s v="Pegatron"/>
    <x v="1"/>
    <s v="-"/>
    <n v="3"/>
    <m/>
  </r>
  <r>
    <x v="394"/>
    <s v="-"/>
    <n v="30021827"/>
    <s v="-"/>
    <s v="-"/>
    <s v="Matowy"/>
    <s v=";1 TB HDD"/>
    <s v="8 GB"/>
    <s v="i5-6200U"/>
    <s v="2,3-2,8 GHz"/>
    <s v="Win 10"/>
    <x v="193"/>
    <s v="Pendrive"/>
    <s v="sponge/ poron"/>
    <s v="P6659"/>
    <s v="D15S"/>
    <s v="Pegatron"/>
    <x v="1"/>
    <s v="-"/>
    <n v="3"/>
    <m/>
  </r>
  <r>
    <x v="395"/>
    <s v="-"/>
    <n v="30022005"/>
    <s v="-"/>
    <s v="-"/>
    <s v="Matowy"/>
    <s v="128 GB SSD; 1 TB HDD"/>
    <s v="8 GB"/>
    <s v="i5-6200U"/>
    <s v="2,3-2,8 GHz"/>
    <s v="Win 10"/>
    <x v="14"/>
    <s v="Pendrive"/>
    <s v="sponge/ poron"/>
    <s v="P6659"/>
    <s v="D15S"/>
    <s v="Pegatron"/>
    <x v="1"/>
    <s v="-"/>
    <n v="3"/>
    <m/>
  </r>
  <r>
    <x v="396"/>
    <s v="-"/>
    <n v="30022227"/>
    <s v="-"/>
    <s v="-"/>
    <s v="Matowy"/>
    <s v="128 GB SSD; 1 TB HDD"/>
    <s v="8 GB"/>
    <s v="i7-6500U"/>
    <s v="2,5-3,1 Ghz"/>
    <s v="Win 10"/>
    <x v="193"/>
    <s v="Pendrive"/>
    <s v="sponge/ poron"/>
    <s v="P6659"/>
    <s v="D15S"/>
    <s v="Pegatron"/>
    <x v="1"/>
    <s v="-"/>
    <n v="3"/>
    <m/>
  </r>
  <r>
    <x v="397"/>
    <s v="-"/>
    <n v="30022315"/>
    <s v="-"/>
    <s v="-"/>
    <s v="Touch / NON GLARE"/>
    <s v="64 GB eMMC;"/>
    <s v="2 GB"/>
    <s v="Atom X5-Z8350"/>
    <s v="1,44 - 1,92 Ghz"/>
    <s v="Win 10"/>
    <x v="11"/>
    <s v="Pendrive"/>
    <s v="Zamiast Recovery robimy RE-!!!"/>
    <s v="E1240T"/>
    <s v="3165 3ND"/>
    <s v="Wingman"/>
    <x v="0"/>
    <s v="-"/>
    <n v="2"/>
    <m/>
  </r>
  <r>
    <x v="398"/>
    <s v="-"/>
    <n v="30022006"/>
    <s v="-"/>
    <s v="-"/>
    <s v="Matowy"/>
    <s v="128 GB SSD; 1 TB HDD"/>
    <s v="8 GB"/>
    <s v="i5-6200U"/>
    <s v="2,3-2,8 GHz"/>
    <s v="Win 10"/>
    <x v="193"/>
    <s v="Pendrive"/>
    <s v="sponge/ poron"/>
    <s v="P6661"/>
    <s v="D15S"/>
    <s v="Pegatron"/>
    <x v="1"/>
    <s v="-"/>
    <n v="3"/>
    <m/>
  </r>
  <r>
    <x v="399"/>
    <s v="-"/>
    <n v="30022573"/>
    <s v="-"/>
    <s v="-"/>
    <s v="Matowy"/>
    <s v="32 GB eMMC;"/>
    <s v="2 GB"/>
    <s v="Pentium N3700"/>
    <s v="1,6-2,4 Ghz"/>
    <s v="Win 10"/>
    <x v="12"/>
    <s v="Pendrive"/>
    <s v="Zamiast Recovery robimy RE-!!! Nowe MB magą się nie włączać dopóki nie poklika się kila razy we włącznik."/>
    <s v="S4219"/>
    <s v="NSBW1x02"/>
    <s v="Tongfang"/>
    <x v="0"/>
    <s v="-"/>
    <n v="4"/>
    <m/>
  </r>
  <r>
    <x v="400"/>
    <s v="-"/>
    <n v="30022574"/>
    <s v="-"/>
    <s v="-"/>
    <s v="Matowy"/>
    <s v="64 GB eMMC; 500 GB HDD"/>
    <s v="4 GB"/>
    <s v="Pentium N3700"/>
    <s v="1,6-2,4 Ghz"/>
    <s v="Win 10"/>
    <x v="9"/>
    <s v="Pendrive"/>
    <s v="Nowe MB magą się nie włączać dopóki nie poklika się kila razy we włącznik."/>
    <s v="S4219"/>
    <s v="NSBW1x02"/>
    <s v="Tongfang"/>
    <x v="0"/>
    <s v="-"/>
    <n v="4"/>
    <m/>
  </r>
  <r>
    <x v="401"/>
    <s v="-"/>
    <n v="30022551"/>
    <s v="-"/>
    <s v="-"/>
    <s v="GLARE"/>
    <s v="128 GB SSD; 500 GB HDD"/>
    <s v="4 GB"/>
    <s v="IntelCore i3-6100U"/>
    <s v="2,30 Ghz"/>
    <s v="Win 10"/>
    <x v="8"/>
    <s v="Pendrive"/>
    <s v="sponge/ poron"/>
    <s v="E6422"/>
    <s v="D15S"/>
    <s v="Pegatron"/>
    <x v="1"/>
    <s v="-"/>
    <n v="3"/>
    <m/>
  </r>
  <r>
    <x v="402"/>
    <s v="-"/>
    <n v="30024502"/>
    <s v="-"/>
    <s v="-"/>
    <s v="GLARE"/>
    <s v="128 GB SSD; 500 GB HDD"/>
    <s v="4 GB"/>
    <s v="IntelCore i3-6100U"/>
    <s v="2,30 Ghz"/>
    <s v="Win 10"/>
    <x v="8"/>
    <s v="Pendrive"/>
    <s v="sponge/ poron"/>
    <s v="E6422"/>
    <s v="D15S"/>
    <s v="Pegatron"/>
    <x v="1"/>
    <s v="-"/>
    <n v="3"/>
    <m/>
  </r>
  <r>
    <x v="403"/>
    <s v="-"/>
    <n v="30024159"/>
    <s v="-"/>
    <s v="Biały"/>
    <s v="Matowy"/>
    <s v="32 GB eMMC;"/>
    <s v="2 GB"/>
    <s v="Atom Z3735F"/>
    <s v="1,33-1,83 Ghz"/>
    <s v="Win 10"/>
    <x v="15"/>
    <s v="Pendrive"/>
    <s v="-"/>
    <s v="S2217"/>
    <s v="EF20"/>
    <s v="ECS"/>
    <x v="0"/>
    <s v="-"/>
    <s v="bez"/>
    <m/>
  </r>
  <r>
    <x v="404"/>
    <s v="-"/>
    <n v="30022316"/>
    <s v="-"/>
    <s v="-"/>
    <s v="Matowy"/>
    <s v="128 GB SSD; 1 TB HDD"/>
    <s v="4 GB"/>
    <s v="Intel Core i3-6100U "/>
    <s v="2,30 Ghz"/>
    <s v="Win 10"/>
    <x v="8"/>
    <s v="Pendrive"/>
    <s v="Shipping mode"/>
    <s v="E7420"/>
    <s v="D17S"/>
    <s v="Pegatron"/>
    <x v="1"/>
    <s v="-"/>
    <n v="3"/>
    <m/>
  </r>
  <r>
    <x v="405"/>
    <s v="-"/>
    <n v="30023363"/>
    <s v="-"/>
    <s v="-"/>
    <s v="Matowy"/>
    <s v=";500 GB HDD"/>
    <s v="4 GB"/>
    <s v="Pentium N3700"/>
    <s v="1,6-2,4 Ghz"/>
    <s v="Win 10"/>
    <x v="67"/>
    <s v="Pendrive"/>
    <s v="Nowe MB magą się nie włączać dopóki nie poklika się kila razy we włącznik.  EC"/>
    <s v="S6219"/>
    <s v="NSBW1x02"/>
    <s v="Tongfang"/>
    <x v="0"/>
    <s v="-"/>
    <n v="4"/>
    <m/>
  </r>
  <r>
    <x v="406"/>
    <s v="-"/>
    <n v="30022790"/>
    <s v="-"/>
    <s v="-"/>
    <s v="Matowy"/>
    <s v="128 GB SSD; 1 TB HDD"/>
    <s v="4 GB"/>
    <s v="IntelCore i3-6100U "/>
    <s v="2,3 Ghz"/>
    <s v="Win 10"/>
    <x v="8"/>
    <s v="Pendrive"/>
    <s v="Firmware SATASSD !! (Obowiazkowo),  sponge/ poron"/>
    <s v="E6422"/>
    <s v="D15S"/>
    <s v="Pegatron"/>
    <x v="1"/>
    <s v="-"/>
    <n v="3"/>
    <m/>
  </r>
  <r>
    <x v="407"/>
    <s v="-"/>
    <n v="30022648"/>
    <s v="-"/>
    <s v="-"/>
    <s v="Matowy"/>
    <s v="256 GB SSD;"/>
    <s v="8 GB"/>
    <s v="Intel Core i3-5005U "/>
    <s v="2,00 Ghz"/>
    <s v="Win 10"/>
    <x v="61"/>
    <s v="Pendrive"/>
    <s v="Shipping mode"/>
    <s v="P7637"/>
    <s v="D17D"/>
    <s v="Pegatron"/>
    <x v="1"/>
    <s v="-"/>
    <n v="3"/>
    <m/>
  </r>
  <r>
    <x v="408"/>
    <s v="-"/>
    <n v="30023556"/>
    <s v="-"/>
    <s v="-"/>
    <s v="Matowy"/>
    <s v=";1 TB HDD"/>
    <s v="4 GB"/>
    <s v="Intel Core™ i3-5005U"/>
    <s v="2,0 GHz"/>
    <s v="Win 10"/>
    <x v="61"/>
    <s v="Pendrive"/>
    <s v="shipping mode"/>
    <s v="P7639"/>
    <s v="D17D"/>
    <s v="Pegatron"/>
    <x v="1"/>
    <s v="-"/>
    <n v="3"/>
    <m/>
  </r>
  <r>
    <x v="409"/>
    <s v="PNB S1414-I0N1 W"/>
    <n v="30023923"/>
    <n v="30020458"/>
    <s v="-"/>
    <s v="Matowy"/>
    <s v="64 GB eMMC;"/>
    <s v="2 GB"/>
    <s v="Celeron N3050"/>
    <s v="2,16 GHz"/>
    <s v="Win 10"/>
    <x v="197"/>
    <s v="Pendrive"/>
    <s v="wymiana zawiasów, top case  /KB - NL"/>
    <s v="S1414"/>
    <s v="NSBW1x02"/>
    <s v="Tongfang"/>
    <x v="0"/>
    <s v="-"/>
    <s v="-"/>
    <m/>
  </r>
  <r>
    <x v="410"/>
    <s v="PMM C1010–I02N3"/>
    <n v="30023111"/>
    <n v="30020459"/>
    <s v="-"/>
    <s v="Touch/GLARE"/>
    <s v="64 GB eMMC;"/>
    <s v="2 GB"/>
    <s v="Atom Z3735F"/>
    <s v="1,33-1,83 Ghz"/>
    <s v="Win 10"/>
    <x v="150"/>
    <s v="Pendrive"/>
    <s v="wymiana zawiasów, top case  / KB -  NL /  zamiast recovery re"/>
    <s v="P1211T"/>
    <s v="WMBT1031"/>
    <s v="Tongfang"/>
    <x v="0"/>
    <s v="-"/>
    <s v="-"/>
    <m/>
  </r>
  <r>
    <x v="411"/>
    <s v="-"/>
    <n v="30022792"/>
    <s v="-"/>
    <s v="Srebrny"/>
    <s v="Matowy"/>
    <s v="32 GB eMMC;"/>
    <s v="2 GB"/>
    <s v="Atom Z3735F"/>
    <s v="1,33-1,83 Ghz"/>
    <s v="Win 10"/>
    <x v="15"/>
    <s v="Pendrive"/>
    <s v="Zamiast Recovery robimy RE-!!! "/>
    <s v="S2218"/>
    <s v="EF20"/>
    <s v="ECS"/>
    <x v="0"/>
    <s v="-"/>
    <s v="bez"/>
    <m/>
  </r>
  <r>
    <x v="411"/>
    <s v="-"/>
    <n v="30022791"/>
    <s v="-"/>
    <s v="Czarny"/>
    <s v="Matowy"/>
    <s v="32 GB eMMC;"/>
    <s v="2 GB"/>
    <s v="Atom Z3735F"/>
    <s v="1,33-1,83 Ghz"/>
    <s v="Win 10"/>
    <x v="15"/>
    <s v="Pendrive"/>
    <s v="Zamiast Recovery robimy RE-!!!"/>
    <s v="S2218"/>
    <s v="EF20"/>
    <s v="ECS"/>
    <x v="0"/>
    <s v="-"/>
    <s v="bez"/>
    <m/>
  </r>
  <r>
    <x v="412"/>
    <s v="PMM P1011–I12N1"/>
    <n v="30023326"/>
    <n v="30020470"/>
    <s v="-"/>
    <s v="Touch / NON GLARE"/>
    <s v="64 GB eMMC;"/>
    <s v="2 GB"/>
    <s v="Celeron N2940"/>
    <s v="1,83 -2,25 GHz"/>
    <s v="Win 10"/>
    <x v="198"/>
    <s v="Pendrive"/>
    <s v="KB - NL /  zamiast recovery re ;  firmware:HDD&amp;DOCK(204); W urządzeniu powinien być ustawiony shipping mode Akku."/>
    <s v="P2213T"/>
    <s v="T11M"/>
    <s v="Pegatron"/>
    <x v="1"/>
    <s v="-"/>
    <s v="-"/>
    <m/>
  </r>
  <r>
    <x v="413"/>
    <s v="S1414-I0N1 S"/>
    <n v="30023446"/>
    <n v="30020471"/>
    <s v="-"/>
    <s v="Matowy"/>
    <s v="64 GB eMMC;"/>
    <s v="2 GB"/>
    <s v="celeron N3050"/>
    <s v="1,6 - 2,16 Ghz"/>
    <s v="Win 10"/>
    <x v="197"/>
    <s v="Pendrive"/>
    <s v="KB - NL Re"/>
    <s v="S4219"/>
    <s v="NSBW1x02"/>
    <s v="Tongfang"/>
    <x v="0"/>
    <s v="-"/>
    <s v="-"/>
    <m/>
  </r>
  <r>
    <x v="414"/>
    <s v="-"/>
    <n v="30022317"/>
    <s v="-"/>
    <s v="-"/>
    <s v="Matowy"/>
    <s v="128 GB SSD; 1 TB HDD"/>
    <s v="4 GB"/>
    <s v="Intel Core i3-6167U"/>
    <s v="2,70 Ghz"/>
    <s v="Win 10"/>
    <x v="8"/>
    <s v="Pendrive"/>
    <s v="Shipping mode"/>
    <s v="E7422"/>
    <s v="D17S"/>
    <s v="Pegatron"/>
    <x v="1"/>
    <s v="-"/>
    <n v="3"/>
    <m/>
  </r>
  <r>
    <x v="415"/>
    <s v="-"/>
    <n v="30022318"/>
    <s v="-"/>
    <s v="-"/>
    <s v="Matowy"/>
    <s v=";1 TB SSHD"/>
    <s v="4 GB"/>
    <s v="Pentium 4405U"/>
    <s v="2,10 GHz"/>
    <s v="Win 10"/>
    <x v="18"/>
    <s v="Pendrive"/>
    <s v="-"/>
    <s v="E6430"/>
    <s v="E15S"/>
    <s v="Pegatron"/>
    <x v="0"/>
    <s v="-"/>
    <n v="3"/>
    <m/>
  </r>
  <r>
    <x v="416"/>
    <s v="-"/>
    <n v="30024160"/>
    <s v="-"/>
    <s v="Srebrny"/>
    <s v="Matowy"/>
    <s v=";1 TB HDD"/>
    <s v="4 GB"/>
    <s v="Pentium N3700"/>
    <s v="1,6-2,4 Ghz"/>
    <s v="Win 10"/>
    <x v="10"/>
    <s v="Pendrive"/>
    <s v="EC"/>
    <s v="S6219"/>
    <s v="NSBW1x02"/>
    <s v="Tongfang"/>
    <x v="0"/>
    <n v="40057145"/>
    <n v="4"/>
    <m/>
  </r>
  <r>
    <x v="417"/>
    <s v="-"/>
    <n v="30022319"/>
    <s v="-"/>
    <s v="-"/>
    <s v="Touch / NON GLARE"/>
    <s v="64 GB eMMC;"/>
    <s v="2 GB"/>
    <s v="Atom X5-Z8350"/>
    <s v="1,44 - 1,92 Ghz"/>
    <s v="Win 10"/>
    <x v="32"/>
    <s v="Pendrive"/>
    <s v="Magnesy w TOP CASE! Update biosu, do najwyższego Build Date."/>
    <s v="E2216T"/>
    <s v="NT16H"/>
    <s v="Emdoor"/>
    <x v="0"/>
    <s v="-"/>
    <n v="2"/>
    <m/>
  </r>
  <r>
    <x v="418"/>
    <s v="-"/>
    <n v="30022794"/>
    <s v="-"/>
    <s v="-"/>
    <s v="GLARE"/>
    <s v="128 GB SSD;"/>
    <s v="4 GB"/>
    <s v="Intel Celeron  3855U"/>
    <s v="1,60 GHz"/>
    <s v="Win 10"/>
    <x v="8"/>
    <s v="Pendrive"/>
    <s v="sponge/ poron"/>
    <s v="E6421"/>
    <s v="D15S"/>
    <s v="Pegatron"/>
    <x v="1"/>
    <s v="-"/>
    <n v="3"/>
    <m/>
  </r>
  <r>
    <x v="419"/>
    <s v="-"/>
    <n v="30024501"/>
    <s v="-"/>
    <s v="-"/>
    <s v="GLARE"/>
    <s v="128 GB SSD;"/>
    <s v="4 GB"/>
    <s v="Intel Celeron  3855U"/>
    <s v="1,60 GHz"/>
    <s v="Win 10"/>
    <x v="8"/>
    <s v="Pendrive"/>
    <s v="sponge/ poron"/>
    <s v="E6421"/>
    <s v="D15S"/>
    <s v="Pegatron"/>
    <x v="1"/>
    <s v="-"/>
    <n v="3"/>
    <m/>
  </r>
  <r>
    <x v="420"/>
    <s v="-"/>
    <n v="30022795"/>
    <s v="-"/>
    <s v="-"/>
    <s v="Matowy"/>
    <s v="64 GB eMMC;"/>
    <s v="2 GB"/>
    <s v="celeron N3160"/>
    <s v="1,6-2,24 Ghz"/>
    <s v="Win 10"/>
    <x v="60"/>
    <s v="Pendrive"/>
    <s v="Recovery - re Pendrive/ bios spod EFI Shell"/>
    <s v="E2214"/>
    <s v="SF20"/>
    <s v="ECS"/>
    <x v="0"/>
    <s v="-"/>
    <n v="4"/>
    <m/>
  </r>
  <r>
    <x v="421"/>
    <s v="-"/>
    <n v="30024303"/>
    <s v="-"/>
    <s v="Srebrny"/>
    <s v="Matowy"/>
    <s v="128 GB SSD; 1 TB HDD"/>
    <s v="8 GB"/>
    <s v="Celeron 3855U"/>
    <s v="1,6 Ghz"/>
    <s v="Win 10"/>
    <x v="199"/>
    <s v="Pendrive"/>
    <s v="sponge/ poron"/>
    <s v="E6421"/>
    <s v="D15S"/>
    <s v="Pegatron"/>
    <x v="1"/>
    <s v="-"/>
    <n v="3"/>
    <m/>
  </r>
  <r>
    <x v="422"/>
    <s v="-"/>
    <n v="30024355"/>
    <s v="-"/>
    <s v="Srebrny"/>
    <s v="Matowy"/>
    <s v="128 GB SSD; 1,5 TB HDD"/>
    <s v="8 GB"/>
    <s v="i5-6200U"/>
    <s v="2,3-2,8 GHz"/>
    <s v="Win 10"/>
    <x v="199"/>
    <s v="Pendrive"/>
    <s v="sponge/ poron"/>
    <s v="E6421"/>
    <s v="D15S"/>
    <s v="Pegatron"/>
    <x v="1"/>
    <n v="40061308"/>
    <n v="3"/>
    <m/>
  </r>
  <r>
    <x v="423"/>
    <s v="-"/>
    <n v="30024305"/>
    <s v="-"/>
    <s v="Czarny, gumowany"/>
    <s v="Matowy"/>
    <s v="128 GB SSD; 1 TB HDD"/>
    <s v="8 GB"/>
    <s v="i7-6500U"/>
    <s v="2,5-3,1 Ghz"/>
    <s v="Win 10"/>
    <x v="20"/>
    <s v="Pendrive"/>
    <s v="sponge/ poron"/>
    <s v="P6661"/>
    <s v="D15S"/>
    <s v="Pegatron"/>
    <x v="1"/>
    <s v="-"/>
    <n v="3"/>
    <m/>
  </r>
  <r>
    <x v="424"/>
    <s v="-"/>
    <n v="30024161"/>
    <s v="-"/>
    <s v="Czarny, gumowany"/>
    <s v="Matowy"/>
    <s v="256 GB SSD; 1 TB HDD"/>
    <s v="16 GB"/>
    <s v="i5-6200U"/>
    <s v="2,3-2,8 GHz"/>
    <s v="Win 10"/>
    <x v="20"/>
    <s v="Pendrive"/>
    <s v="-"/>
    <s v="P7643"/>
    <s v="D17S"/>
    <s v="Pegatron"/>
    <x v="1"/>
    <n v="40057143"/>
    <n v="3"/>
    <m/>
  </r>
  <r>
    <x v="425"/>
    <s v="-"/>
    <n v="30024306"/>
    <s v="-"/>
    <s v="Czarny, gumowany"/>
    <s v="Matowy"/>
    <s v="512 GB SSD; 2 TB HDD"/>
    <s v="16 GB"/>
    <s v="i7-6500U"/>
    <s v="2,5-3,1 Ghz"/>
    <s v="Win 10"/>
    <x v="20"/>
    <s v="Pendrive"/>
    <s v="-"/>
    <s v="P7643"/>
    <s v="D17S"/>
    <s v="Pegatron"/>
    <x v="1"/>
    <s v="-"/>
    <n v="3"/>
    <m/>
  </r>
  <r>
    <x v="426"/>
    <s v="-"/>
    <n v="30022639"/>
    <s v="-"/>
    <s v="-"/>
    <s v="Matowy"/>
    <s v="128 GB SSD; 1 TB HDD"/>
    <s v="6 GB"/>
    <s v="i5-6200U"/>
    <s v="2,3-2,8 GHz"/>
    <s v="Win 10"/>
    <x v="52"/>
    <s v="Pendrive"/>
    <s v="Substytut SSD 256 GB"/>
    <s v="P6670"/>
    <s v="E15S"/>
    <s v="Pegatron"/>
    <x v="0"/>
    <s v="-"/>
    <n v="3"/>
    <m/>
  </r>
  <r>
    <x v="427"/>
    <s v="-"/>
    <n v="30024162"/>
    <s v="-"/>
    <s v="Czarny, gumowany"/>
    <s v="Matowy"/>
    <s v="128 GB SSD; 1 TB HDD"/>
    <s v="6 GB"/>
    <s v="i5-6200U"/>
    <s v="2,3-2,8 GHz"/>
    <s v="Win 10"/>
    <x v="20"/>
    <s v="Pendrive"/>
    <s v="-"/>
    <s v="P7643"/>
    <s v="D17S"/>
    <s v="Pegatron"/>
    <x v="1"/>
    <n v="40057143"/>
    <n v="3"/>
    <m/>
  </r>
  <r>
    <x v="428"/>
    <s v="-"/>
    <n v="30024163"/>
    <s v="-"/>
    <s v="Czarny"/>
    <s v="Matowy"/>
    <s v="128 GB SSD; 1,5 TB HDD"/>
    <s v="12 GB"/>
    <s v="i5-6200U"/>
    <s v="2,3-2,8 GHz"/>
    <s v="Win 10"/>
    <x v="20"/>
    <s v="Pendrive"/>
    <s v="-"/>
    <s v="P7643"/>
    <s v="D17S"/>
    <s v="Pegatron"/>
    <x v="1"/>
    <n v="40057143"/>
    <n v="3"/>
    <m/>
  </r>
  <r>
    <x v="429"/>
    <s v="-"/>
    <n v="30022662"/>
    <s v="-"/>
    <s v="-"/>
    <s v="Matowy"/>
    <s v="128 GB SSD; 1 TB HDD"/>
    <s v="6 GB"/>
    <s v="IntelCore i3-6157U "/>
    <s v="2,4 Ghz"/>
    <s v="Win 10"/>
    <x v="18"/>
    <s v="Pendrive"/>
    <s v="Substytut SSD 256 GB"/>
    <s v="E6432"/>
    <s v="E15S"/>
    <s v="Pegatron"/>
    <x v="0"/>
    <s v="-"/>
    <n v="3"/>
    <m/>
  </r>
  <r>
    <x v="430"/>
    <s v="-"/>
    <n v="30024307"/>
    <s v="-"/>
    <s v="Czarny"/>
    <s v="Matowy 1080p"/>
    <s v="64 GB eMMC;"/>
    <s v="2 GB"/>
    <s v="Celeron N3050"/>
    <s v="1,6-2,16 Ghz"/>
    <s v="Win 10"/>
    <x v="200"/>
    <s v="Pendrive"/>
    <s v="EC"/>
    <s v="S4219"/>
    <s v="NSBW1x02"/>
    <s v="Tongfang"/>
    <x v="0"/>
    <s v="-"/>
    <n v="4"/>
    <m/>
  </r>
  <r>
    <x v="431"/>
    <s v="-"/>
    <n v="30023364"/>
    <s v="-"/>
    <s v="-"/>
    <s v="Touch / GLARE"/>
    <s v="64 GB eMMC;"/>
    <s v="2 GB"/>
    <s v="Atom Z3735F"/>
    <s v="1,33-1,83 Ghz"/>
    <s v="Win 10"/>
    <x v="182"/>
    <s v="Pendrive"/>
    <s v="KB NL!!!!   Re / Shipping mode"/>
    <s v="E1235T"/>
    <s v=" E1235T"/>
    <s v="Malata"/>
    <x v="1"/>
    <s v="-"/>
    <n v="4"/>
    <m/>
  </r>
  <r>
    <x v="432"/>
    <s v="-"/>
    <n v="30022661"/>
    <s v="-"/>
    <s v="-"/>
    <s v="Matowy"/>
    <s v="256 GB SSD; 1 TB HDD"/>
    <s v="16 GB"/>
    <s v="i7-7500U"/>
    <s v="2,7-3,5 Ghz"/>
    <s v="Win 10"/>
    <x v="57"/>
    <s v="Pendrive"/>
    <s v="Shipping mode,  Touchpad firmaware"/>
    <s v="P7648"/>
    <s v="D17K"/>
    <s v="Pegatron"/>
    <x v="1"/>
    <s v="-"/>
    <n v="3"/>
    <m/>
  </r>
  <r>
    <x v="433"/>
    <s v="PNB T2015-I3N1"/>
    <n v="30023447"/>
    <n v="30020622"/>
    <s v="-"/>
    <s v="Touch/GLARE"/>
    <s v="256 GB SSD;"/>
    <s v="4 GB"/>
    <s v="i3-6100U"/>
    <s v="2,3 Ghz"/>
    <s v="Win 10"/>
    <x v="201"/>
    <s v="Pendrive"/>
    <s v="KB NL"/>
    <s v="S6419T"/>
    <s v="T2015"/>
    <s v="Wistron"/>
    <x v="0"/>
    <s v="-"/>
    <s v="-"/>
    <m/>
  </r>
  <r>
    <x v="434"/>
    <s v="PNB T2015-I5N1"/>
    <n v="30024308"/>
    <n v="30020621"/>
    <s v="-"/>
    <s v="Touch"/>
    <s v="256 GB SSD;"/>
    <s v="8 GB"/>
    <s v="i5-6200U"/>
    <s v="2,3-2,8 GHz"/>
    <s v="Win 10"/>
    <x v="202"/>
    <s v="Pendrive"/>
    <s v="NL / warto sprawdzić czy NB nie ukrył jakiegoś okna dialogowego po wgraniu oprogramowna"/>
    <s v="S6619T"/>
    <s v="T2015"/>
    <s v="Wistron"/>
    <x v="0"/>
    <s v="-"/>
    <s v="-"/>
    <m/>
  </r>
  <r>
    <x v="435"/>
    <s v="-"/>
    <n v="30023936"/>
    <s v="-"/>
    <s v="-"/>
    <s v="Matowy"/>
    <s v="128 GB SSD; 1 TB HDD"/>
    <s v="6 GB"/>
    <s v="i5-6267U"/>
    <s v="2,90 Ghz"/>
    <s v="Win 10"/>
    <x v="8"/>
    <s v="Pendrive"/>
    <s v="Firmware SATA SSD!! (Obowiazkowo) Sponge/Poron"/>
    <s v="E6424"/>
    <s v="D15S"/>
    <s v="Pegatron"/>
    <x v="1"/>
    <s v="-"/>
    <n v="3"/>
    <m/>
  </r>
  <r>
    <x v="436"/>
    <s v="-"/>
    <n v="30024340"/>
    <s v="-"/>
    <s v="Grafitowy"/>
    <s v="Matowy 1080p"/>
    <s v="256 GB SSD;"/>
    <s v="8 GB"/>
    <s v="i7-6500U"/>
    <s v="2,5-3,1 Ghz"/>
    <s v="Win 10"/>
    <x v="19"/>
    <s v="Pendrive"/>
    <s v="-"/>
    <s v="P6669"/>
    <s v="E15S"/>
    <s v="Pegatron"/>
    <x v="0"/>
    <s v="-"/>
    <n v="3"/>
    <m/>
  </r>
  <r>
    <x v="437"/>
    <s v="-"/>
    <n v="30024279"/>
    <s v="-"/>
    <s v="Brązowy"/>
    <s v="Matowy 720p"/>
    <s v="128 GB SSD; 1 TB HDD"/>
    <s v="8 GB"/>
    <s v="i3-5005U"/>
    <s v="2 GHz"/>
    <s v="Win 10"/>
    <x v="28"/>
    <s v="Pendrive"/>
    <m/>
    <s v="E6415"/>
    <s v="D15D"/>
    <s v="Pegatron"/>
    <x v="1"/>
    <n v="40057144"/>
    <n v="3"/>
    <m/>
  </r>
  <r>
    <x v="438"/>
    <s v="-"/>
    <n v="30024593"/>
    <s v="-"/>
    <s v="Brązowy"/>
    <s v="Dotykowy 1080P"/>
    <s v="64 GB eMMC;"/>
    <s v="2 GB"/>
    <s v="Celeron N2940"/>
    <s v="1,83 -2,25 GHz"/>
    <s v="Win 10"/>
    <x v="203"/>
    <s v="Pendrive"/>
    <s v="Dock firmware/hdd firmware"/>
    <s v="P2213T"/>
    <s v="T11M"/>
    <s v="Pegatron"/>
    <x v="1"/>
    <m/>
    <n v="1"/>
    <m/>
  </r>
  <r>
    <x v="439"/>
    <s v="-"/>
    <n v="30024595"/>
    <s v="-"/>
    <s v="Srebrny"/>
    <s v="Matowy 1080p"/>
    <s v="256 GB SSD;"/>
    <s v="8 GB"/>
    <s v="i5-7200u"/>
    <s v="2,5-3,1 Ghz"/>
    <s v="Win 10"/>
    <x v="204"/>
    <s v="Pendrive"/>
    <m/>
    <s v="S3409"/>
    <s v="F13K"/>
    <s v="Pegatron"/>
    <x v="1"/>
    <m/>
    <n v="3"/>
    <m/>
  </r>
  <r>
    <x v="440"/>
    <s v="-"/>
    <n v="30024599"/>
    <s v="-"/>
    <s v="Grafitowy"/>
    <s v="Matowy 1080p"/>
    <s v="128 GB SSD; 1,5 TB HDD"/>
    <s v="8 GB"/>
    <s v="i5-6200U"/>
    <s v="2,3-2,8 GHz"/>
    <s v="Win 10"/>
    <x v="52"/>
    <s v="Pendrive"/>
    <s v="w przypadku nie działającego image, skopiować partycję rozruchową z innego image"/>
    <s v="P6669"/>
    <s v="E15S"/>
    <s v="Pegatron"/>
    <x v="0"/>
    <m/>
    <n v="3"/>
    <s v="GTX 940MX 2 GB"/>
  </r>
  <r>
    <x v="441"/>
    <s v="-"/>
    <n v="30024597"/>
    <s v="-"/>
    <s v="Srebrny"/>
    <s v="Matowy 1080p"/>
    <s v="128 GB eMMC;"/>
    <s v="4 GB"/>
    <s v="Pentium N3710"/>
    <s v="1,6-2,56 Ghz"/>
    <s v="Win 10"/>
    <x v="59"/>
    <s v="Pendrive"/>
    <s v="Obowiązkowa instrukcja ME.QA.02.528 / EC"/>
    <s v="S6219"/>
    <s v="NSBW1x02"/>
    <s v="Tongfang"/>
    <x v="0"/>
    <m/>
    <n v="4"/>
    <m/>
  </r>
  <r>
    <x v="442"/>
    <s v="-"/>
    <n v="30024596"/>
    <s v="-"/>
    <s v="Srebrny"/>
    <s v="Matowy 1080p"/>
    <s v=";1 TB HDD"/>
    <s v="4 GB"/>
    <s v="i3-7100u"/>
    <s v="2,4 Ghz"/>
    <s v="Win 10"/>
    <x v="78"/>
    <s v="Pendrive"/>
    <s v="TP firmware"/>
    <s v="E6436 "/>
    <s v="E15K"/>
    <s v="Pegatron"/>
    <x v="0"/>
    <m/>
    <n v="3"/>
    <m/>
  </r>
  <r>
    <x v="443"/>
    <s v="-"/>
    <n v="30024631"/>
    <s v="-"/>
    <s v="Grafitowy"/>
    <s v="Matowy 1080p"/>
    <s v="256 GB SSD; 1 TB HDD"/>
    <s v="8 GB"/>
    <s v="i5-7200u"/>
    <s v="2,5-3,1 Ghz"/>
    <s v="Win 10"/>
    <x v="205"/>
    <s v="Pendrive"/>
    <s v="TP firmware"/>
    <s v="P6678"/>
    <s v="E15K"/>
    <s v="Pegatron"/>
    <x v="0"/>
    <m/>
    <n v="3"/>
    <m/>
  </r>
  <r>
    <x v="444"/>
    <s v="-"/>
    <n v="30024638"/>
    <s v="-"/>
    <s v="czarny gumowany"/>
    <s v="Matowy 1080p"/>
    <s v="256 GB SSD; 1 TB HDD"/>
    <s v="8 GB"/>
    <s v="i7-8550U"/>
    <s v="1.80-4.0 Ghz"/>
    <s v="Win 10"/>
    <x v="206"/>
    <s v="Pendrive"/>
    <m/>
    <s v="P7652"/>
    <s v="D17KxR"/>
    <s v="Pegatron"/>
    <x v="1"/>
    <m/>
    <n v="3"/>
    <m/>
  </r>
  <r>
    <x v="445"/>
    <s v="-"/>
    <n v="30024632"/>
    <s v="-"/>
    <s v="Grafitowy"/>
    <s v="Matowy 1080p"/>
    <s v=";1 TB HDD"/>
    <s v="8 GB"/>
    <s v="i5-6200U"/>
    <s v="2,3-2,8 GHz"/>
    <s v="Win 10"/>
    <x v="207"/>
    <s v="Pendrive"/>
    <s v="sponge/ poron zamontowane fabrycznie, sprawdzić"/>
    <s v="P6667"/>
    <s v="D15S"/>
    <s v="Pegatron"/>
    <x v="1"/>
    <m/>
    <n v="3"/>
    <m/>
  </r>
  <r>
    <x v="446"/>
    <s v="-"/>
    <m/>
    <s v="-"/>
    <s v="Srebrny"/>
    <s v="Matowy 1080p"/>
    <s v=";1,5 TB HDD"/>
    <s v="4 GB"/>
    <s v="Pentium 4405U"/>
    <s v="2.1 Ghz"/>
    <s v="-"/>
    <x v="22"/>
    <s v="-"/>
    <s v="no os"/>
    <s v="E7419"/>
    <s v="D17S"/>
    <s v="Pegatron"/>
    <x v="1"/>
    <m/>
    <n v="3"/>
    <m/>
  </r>
  <r>
    <x v="447"/>
    <s v="-"/>
    <n v="30024639"/>
    <s v="-"/>
    <s v="Grafitowy"/>
    <s v="Matowy 720p"/>
    <s v="256 GB SSD; 1 TB HDD"/>
    <s v="16 GB"/>
    <s v="i5-6200U"/>
    <s v="2,3-2,8 GHz"/>
    <s v="Win 10"/>
    <x v="21"/>
    <s v="Pendrive"/>
    <s v="-"/>
    <s v="P7641"/>
    <s v="D17S"/>
    <s v="Pegatron"/>
    <x v="1"/>
    <m/>
    <n v="3"/>
    <s v="GTX 930M 2 GB"/>
  </r>
  <r>
    <x v="448"/>
    <s v="-"/>
    <n v="30024644"/>
    <s v="-"/>
    <s v="czarny gumowany"/>
    <s v="Matowy 1080p"/>
    <s v="256 GB SSD; 1 TB HDD"/>
    <s v="16 GB"/>
    <s v="i7-7700HQ"/>
    <s v="2,8-3,8 Ghz"/>
    <s v="Win 10"/>
    <x v="208"/>
    <s v="Pendrive"/>
    <s v="Automatyczny shipping mode przy pieczętowaniu."/>
    <s v="X6603"/>
    <s v="DY518"/>
    <s v="LCFC"/>
    <x v="0"/>
    <m/>
    <n v="4"/>
    <s v="GTX 1050"/>
  </r>
  <r>
    <x v="449"/>
    <s v="-"/>
    <n v="30024633"/>
    <s v="-"/>
    <s v="czarny gumowany"/>
    <s v="Matowy 1080p"/>
    <s v="256 GB SSD; 1,5 TB HDD "/>
    <s v="8 GB"/>
    <s v="i5-7200U"/>
    <s v="2,5-3,1 Ghz"/>
    <s v="Win 10"/>
    <x v="209"/>
    <s v="Pendrive"/>
    <s v="tp firmware, sponge / poron"/>
    <s v="P6679"/>
    <s v="D15K"/>
    <s v="Pegatron"/>
    <x v="1"/>
    <m/>
    <n v="3"/>
    <s v="GTX 950M 4 GB"/>
  </r>
  <r>
    <x v="450"/>
    <s v="-"/>
    <n v="30024647"/>
    <s v="-"/>
    <s v="Grafitowy"/>
    <s v="Matowy 1080p"/>
    <s v="128 GB SSD; 1 TB HDD"/>
    <s v="8 GB"/>
    <s v="i7-7500U"/>
    <s v="2,7-3,5 Ghz"/>
    <s v="Win 10"/>
    <x v="58"/>
    <s v="Pendrive"/>
    <s v="tp firmware"/>
    <s v="P6677"/>
    <s v="E15K"/>
    <s v="Pegatron"/>
    <x v="0"/>
    <m/>
    <n v="3"/>
    <m/>
  </r>
  <r>
    <x v="451"/>
    <s v="-"/>
    <n v="30024640"/>
    <s v="-"/>
    <s v="Srebrny"/>
    <s v="Dotykowy 1080P"/>
    <s v="128 GB eMMC;"/>
    <s v="2 GB"/>
    <s v="Atom x5-Z8350"/>
    <s v="1,44 - 1,92 Ghz"/>
    <s v="Win 10"/>
    <x v="210"/>
    <s v="Pendrive"/>
    <s v="-"/>
    <s v="E1239T"/>
    <s v="3165 3ND"/>
    <s v="Wingman"/>
    <x v="0"/>
    <m/>
    <n v="2"/>
    <m/>
  </r>
  <r>
    <x v="452"/>
    <s v="-"/>
    <n v="30024598"/>
    <s v="-"/>
    <s v="Srebrny"/>
    <s v="Dotykowy 1080P"/>
    <s v="64 GB eMMC;"/>
    <s v="2 GB"/>
    <s v="Atom X5-Z8350"/>
    <s v="1,44 - 1,92 Ghz"/>
    <s v="Win 10"/>
    <x v="210"/>
    <s v="Pendrive"/>
    <s v="-"/>
    <s v="E1239T"/>
    <s v="3165 3ND"/>
    <s v="Wingman"/>
    <x v="0"/>
    <m/>
    <n v="2"/>
    <m/>
  </r>
  <r>
    <x v="453"/>
    <s v="-"/>
    <n v="30024636"/>
    <s v="-"/>
    <s v="Grafitowy"/>
    <s v="Matowy 1080p"/>
    <s v="256 GB SSD; 1 TB HDD"/>
    <s v="16 GB"/>
    <s v="i7-7500U"/>
    <s v="2,7-3,5 Ghz"/>
    <s v="Win 10"/>
    <x v="211"/>
    <s v="Duży Pendrive"/>
    <s v="Duży Pendrive"/>
    <s v="P7649"/>
    <s v="D17KxR"/>
    <s v="Pegatron"/>
    <x v="1"/>
    <m/>
    <n v="2"/>
    <m/>
  </r>
  <r>
    <x v="454"/>
    <s v="-"/>
    <n v="30024646"/>
    <s v="-"/>
    <s v="czarny gumowany"/>
    <s v="Matowy 1080p"/>
    <s v="128 GB SSD; 1 TB HDD"/>
    <s v="8 GB"/>
    <s v="i5-6300HQ"/>
    <s v="2,3-3,2 Ghz"/>
    <s v="Win 10"/>
    <x v="179"/>
    <s v="Pendrive"/>
    <s v="EC"/>
    <s v="X7841"/>
    <s v="P670 RE1-M"/>
    <s v="Clevo"/>
    <x v="0"/>
    <m/>
    <n v="2"/>
    <s v="GTX 970M"/>
  </r>
  <r>
    <x v="455"/>
    <s v="-"/>
    <n v="30024643"/>
    <s v="-"/>
    <s v="Czarny"/>
    <s v="Dotykowy 1080P"/>
    <s v="64 GB eMMC;"/>
    <s v="2 GB"/>
    <s v="Atom X5-Z8350"/>
    <s v="1,44-1,92 Ghz"/>
    <s v="Win 10"/>
    <x v="212"/>
    <s v="Pendrive"/>
    <s v="Magnesy w TOP CASE! Update biosu, do najwyższego Build Date."/>
    <s v="E2221T"/>
    <s v="NT16H"/>
    <s v="Emdoor"/>
    <x v="0"/>
    <m/>
    <n v="2"/>
    <m/>
  </r>
  <r>
    <x v="456"/>
    <s v="-"/>
    <n v="30024630"/>
    <s v="-"/>
    <s v="Czarny"/>
    <s v="Dotykowy 1080P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x v="0"/>
    <m/>
    <n v="2"/>
    <m/>
  </r>
  <r>
    <x v="457"/>
    <s v="-"/>
    <n v="30024635"/>
    <s v="-"/>
    <s v="Czarny"/>
    <s v="Dotykowy 720p"/>
    <s v="64 GB eMMC;"/>
    <s v="2 GB"/>
    <s v="Atom X5-Z8350"/>
    <s v="1,44-1,92 Ghz"/>
    <s v="Win 10"/>
    <x v="212"/>
    <s v="Pendrive"/>
    <s v="Magnesy w TOP CASE! Update biosu, do najwyższego Build Date."/>
    <s v="E2225T"/>
    <s v="NT16H"/>
    <s v="Emdoor"/>
    <x v="0"/>
    <m/>
    <n v="2"/>
    <m/>
  </r>
  <r>
    <x v="458"/>
    <s v="-"/>
    <n v="30024344"/>
    <s v="-"/>
    <s v="czarny gumowany"/>
    <s v="Matowy 1080p"/>
    <s v="256 GB SSD;"/>
    <s v="16 GB"/>
    <s v="i7-6820HK"/>
    <s v="2,7-3,6 Ghz"/>
    <s v="Win 10"/>
    <x v="213"/>
    <s v="Pendrive"/>
    <s v="-"/>
    <s v="X7847"/>
    <s v="P670 RP6-M"/>
    <s v="Clevo"/>
    <x v="0"/>
    <m/>
    <n v="2"/>
    <s v="GTX 1060 6 GB"/>
  </r>
  <r>
    <x v="459"/>
    <s v="-"/>
    <n v="30024650"/>
    <s v="-"/>
    <s v="biału"/>
    <s v="Matowy 720p"/>
    <s v="128 GB SSD;"/>
    <s v="4 GB"/>
    <s v="Celeron N3050"/>
    <s v="1,6-2,16 Ghz"/>
    <s v="Win 10"/>
    <x v="200"/>
    <s v="Pendrive"/>
    <s v="Obowiązkowa instrukcja ME.QA.02.528 / EC"/>
    <s v="S6219"/>
    <s v="NSBW1x02"/>
    <s v="Tongfang"/>
    <x v="0"/>
    <m/>
    <n v="4"/>
    <m/>
  </r>
  <r>
    <x v="460"/>
    <s v="-"/>
    <n v="30024093"/>
    <s v="-"/>
    <s v="czarny gumowany"/>
    <s v="Matowy 1080p"/>
    <s v="128 GB SSD; 500 GB HDD; 1TB HDD"/>
    <s v="20 GB"/>
    <s v="i7-6700HQ"/>
    <s v="2,6-3,5 Ghz"/>
    <s v="Win 10"/>
    <x v="214"/>
    <s v="Pendrive"/>
    <s v="Recovery po wgraniu image/ EC"/>
    <s v="X7842"/>
    <s v="P670 RE1-M"/>
    <s v="Clevo"/>
    <x v="0"/>
    <m/>
    <n v="3"/>
    <s v="GTX 970 3 GB"/>
  </r>
  <r>
    <x v="461"/>
    <s v="-"/>
    <n v="30024653"/>
    <n v="30023285"/>
    <s v="Srebrny"/>
    <s v="Matowy 1080p"/>
    <s v="128 GB eMMC;"/>
    <s v="4 GB"/>
    <s v="Celeron N3060"/>
    <s v="1,6-2,48 Ghz"/>
    <s v="Win 10"/>
    <x v="215"/>
    <s v="Pendrive"/>
    <s v="Obowiązkowa instrukcja ME.QA.02.528 / EC"/>
    <s v="S1415"/>
    <s v="NSBW1x02"/>
    <s v="Tongfang"/>
    <x v="0"/>
    <m/>
    <n v="4"/>
    <m/>
  </r>
  <r>
    <x v="462"/>
    <s v="-"/>
    <n v="30024649"/>
    <s v="-"/>
    <s v="Srebrny"/>
    <s v="Matowy 1080p"/>
    <s v=";1 TB HDD"/>
    <s v="4 GB"/>
    <s v="i5-6200U"/>
    <s v="2,3-2,8 GHz"/>
    <s v="Win 10"/>
    <x v="29"/>
    <s v="Pendrive"/>
    <s v="sponge/porony"/>
    <s v="E6421"/>
    <s v="D15S"/>
    <s v="Pegatron"/>
    <x v="1"/>
    <m/>
    <n v="3"/>
    <m/>
  </r>
  <r>
    <x v="463"/>
    <s v="-"/>
    <n v="30024301"/>
    <s v="-"/>
    <s v="Biały"/>
    <s v="Matowy 1080p"/>
    <s v="32 GB eMMC;"/>
    <s v="2 GB"/>
    <s v="Atom Z3735F"/>
    <s v="1,33-1,83 Ghz"/>
    <s v="Win 10"/>
    <x v="15"/>
    <s v="Pendrive"/>
    <s v="KLAWIATURA BE"/>
    <s v="S2217"/>
    <s v="EF20"/>
    <s v="ECS"/>
    <x v="0"/>
    <m/>
    <s v="bez"/>
    <m/>
  </r>
  <r>
    <x v="464"/>
    <s v="-"/>
    <n v="30024637"/>
    <s v="-"/>
    <s v="Srebrny"/>
    <s v="Dotykowy 1080P"/>
    <s v="64 GB eMMC;"/>
    <s v="4 GB"/>
    <s v="Atom x5-Z8300"/>
    <s v="1,44-1,84 Ghz"/>
    <s v="Win 10"/>
    <x v="34"/>
    <s v="Pendrive"/>
    <s v="Magnesy w TOP CASE! Update biosu, do najwyższego Build Date."/>
    <s v="E2217T"/>
    <s v="NT16H"/>
    <s v="Emdoor"/>
    <x v="0"/>
    <m/>
    <n v="4"/>
    <m/>
  </r>
  <r>
    <x v="465"/>
    <s v="-"/>
    <n v="30024651"/>
    <n v="30022579"/>
    <s v="Srebrny"/>
    <s v="Matowy 1080p"/>
    <s v="128 GB eMMc; 1 TB HDD"/>
    <s v="8 GB"/>
    <s v="i5-6200U"/>
    <s v="2,3-2,8 GHz"/>
    <s v="Win 10"/>
    <x v="216"/>
    <s v="Pendrive"/>
    <s v="SN płyty pod radiatorem/ EC"/>
    <s v="S2415"/>
    <s v="NSSL1502"/>
    <s v="Tongfang"/>
    <x v="0"/>
    <m/>
    <n v="4"/>
    <m/>
  </r>
  <r>
    <x v="466"/>
    <s v="-"/>
    <n v="30023557"/>
    <s v="-"/>
    <s v="Brązowy"/>
    <s v="Matowy 720p"/>
    <s v=";1 TB HDD"/>
    <s v="8 GB"/>
    <s v="i3-4005U"/>
    <s v="1,7 Ghz"/>
    <s v="Win 10"/>
    <x v="159"/>
    <s v="Pendrive"/>
    <s v="-"/>
    <s v="E6411"/>
    <s v="D15B"/>
    <s v="Pegatron"/>
    <x v="1"/>
    <m/>
    <n v="3"/>
    <m/>
  </r>
  <r>
    <x v="467"/>
    <s v="-"/>
    <n v="30022565"/>
    <s v="-"/>
    <s v="Srebrny"/>
    <s v="Matowy 1080p"/>
    <s v="128 GB SSD; 1,5 TB HDD"/>
    <s v="6 GB"/>
    <s v="i5-6267U "/>
    <s v="2,9-3,2 Ghz"/>
    <s v="Win 10"/>
    <x v="18"/>
    <s v="Pendrive"/>
    <s v="-"/>
    <s v="E6431"/>
    <s v="E15S"/>
    <s v="Pegatron"/>
    <x v="0"/>
    <m/>
    <n v="3"/>
    <m/>
  </r>
  <r>
    <x v="468"/>
    <s v="-"/>
    <n v="30024652"/>
    <n v="30022576"/>
    <s v="Srebrny"/>
    <s v="Dotykowy 1080P"/>
    <s v="64 GB eMMc;"/>
    <s v="2 GB"/>
    <s v="Atom X5-Z8350"/>
    <s v="1,44-1,92 Ghz"/>
    <s v="Win 10"/>
    <x v="217"/>
    <s v="Pendrive"/>
    <s v="Magnesy w TOP CASE! Update biosu, do najwyższego Build Date."/>
    <s v="E2221T"/>
    <s v="NT16H"/>
    <s v="Emdoor"/>
    <x v="0"/>
    <m/>
    <n v="2"/>
    <m/>
  </r>
  <r>
    <x v="469"/>
    <s v="-"/>
    <n v="30024432"/>
    <s v="-"/>
    <s v="Biały"/>
    <s v="Dotykowy 720p"/>
    <s v="32 GB eMMc;"/>
    <s v="2 GB"/>
    <s v="Atom x5-8350"/>
    <s v="1,44-1,92 Ghz"/>
    <s v="Win 10"/>
    <x v="218"/>
    <s v="Pendrive"/>
    <s v="Magnesy w TOP CASE! Update biosu, do najwyższego Build Date."/>
    <s v="E2215T"/>
    <s v="NT16H"/>
    <s v="Emdoor"/>
    <x v="0"/>
    <m/>
    <n v="2"/>
    <m/>
  </r>
  <r>
    <x v="470"/>
    <s v="-"/>
    <n v="30024641"/>
    <s v="-"/>
    <s v="Brązowy"/>
    <s v="Matowy 720p"/>
    <s v=";500 GB HDD"/>
    <s v="4 GB"/>
    <s v="i5-5200U"/>
    <s v="2,2-2,7 Ghz"/>
    <s v="Win 10"/>
    <x v="162"/>
    <s v="Pendrive"/>
    <s v="sponge/ poron"/>
    <s v="E6415"/>
    <s v="D15D"/>
    <s v="Pegatron"/>
    <x v="1"/>
    <m/>
    <n v="3"/>
    <m/>
  </r>
  <r>
    <x v="471"/>
    <s v="-"/>
    <n v="30024431"/>
    <n v="30022578"/>
    <s v="Srebrny"/>
    <s v="Matowy 1080p"/>
    <s v="128 GB eMMc; 1 TB HDD"/>
    <s v="4 GB"/>
    <s v="i3-6006U"/>
    <s v="2 GHz"/>
    <s v="Win 10"/>
    <x v="216"/>
    <s v="Pendrive"/>
    <s v="-"/>
    <s v="S2415"/>
    <s v="NSSL1502"/>
    <s v="Tongfang"/>
    <x v="0"/>
    <m/>
    <n v="4"/>
    <m/>
  </r>
  <r>
    <x v="472"/>
    <s v="-"/>
    <n v="30024411"/>
    <s v="-"/>
    <s v="Srebrny"/>
    <s v="Dotykowy 720p"/>
    <s v="32 GB eMMC;"/>
    <s v="2 GB"/>
    <s v="Atom Z3735F"/>
    <s v="1,33-1,83 Ghz"/>
    <s v="Win 10"/>
    <x v="219"/>
    <s v="Pendrive"/>
    <s v="-"/>
    <s v="E1235T"/>
    <s v="1013N"/>
    <s v="Malata"/>
    <x v="1"/>
    <m/>
    <n v="4"/>
    <m/>
  </r>
  <r>
    <x v="473"/>
    <s v="-"/>
    <n v="30024852"/>
    <s v="-"/>
    <s v="Czarny"/>
    <s v="Matowy 1080p"/>
    <s v="256 GB SSD; 1 TB HDD"/>
    <s v="16 GB"/>
    <s v="i7-7700HQ"/>
    <s v="2,8-3,8 Ghz"/>
    <s v="Win 10"/>
    <x v="220"/>
    <s v="Pendrive"/>
    <s v="SWM na C: 20064754"/>
    <s v="X7855"/>
    <s v="PA70HP6"/>
    <s v="Clevo"/>
    <x v="0"/>
    <m/>
    <n v="3"/>
    <s v="GTX 1060 6 GB"/>
  </r>
  <r>
    <x v="474"/>
    <s v="-"/>
    <n v="30024654"/>
    <n v="30020271"/>
    <s v="Srebrny"/>
    <s v="Matowy 2k"/>
    <s v="256 GB SSD;"/>
    <s v="8 GB"/>
    <s v="i7-5500U"/>
    <s v="2,4 Ghz"/>
    <s v="Win 10"/>
    <x v="221"/>
    <s v="Pendrive"/>
    <s v="BE, jack tylko słuchawki"/>
    <s v="S1013"/>
    <s v="MS-13D1"/>
    <s v="MSI"/>
    <x v="0"/>
    <m/>
    <n v="4"/>
    <m/>
  </r>
  <r>
    <x v="475"/>
    <s v="-"/>
    <n v="3024655"/>
    <n v="30020272"/>
    <s v="Srebrny"/>
    <s v="Matowy 1080p"/>
    <s v="128 GB SSD; 1 TB HDD"/>
    <s v="12 GB"/>
    <s v="i5-6200u"/>
    <s v="2,3 GHz"/>
    <s v="Win 10"/>
    <x v="222"/>
    <s v="Pendrive"/>
    <s v="BE, SWM na E 20061745"/>
    <s v="P2017"/>
    <s v="D17S"/>
    <s v="Pegatron"/>
    <x v="1"/>
    <m/>
    <n v="3"/>
    <s v="GF 930M"/>
  </r>
  <r>
    <x v="476"/>
    <s v="-"/>
    <n v="30024862"/>
    <s v="-"/>
    <s v="Srebrny"/>
    <s v="Błyszczący QHD+"/>
    <s v="512 GB SSD;"/>
    <s v="8 GB"/>
    <s v="i7-7500U"/>
    <s v="2,7-3,5 Ghz"/>
    <s v="Win 10"/>
    <x v="35"/>
    <s v="Pendrive"/>
    <s v="-"/>
    <s v="S3409"/>
    <s v="F13K"/>
    <s v="Pegatron"/>
    <x v="1"/>
    <m/>
    <n v="3"/>
    <m/>
  </r>
  <r>
    <x v="477"/>
    <s v="-"/>
    <n v="30024899"/>
    <s v="-"/>
    <s v="Srebrny"/>
    <s v="Matowy 720p"/>
    <s v=";500 GB HDD"/>
    <s v="8 GB"/>
    <s v="i5-6200U"/>
    <s v="2,3-2,8 Ghz"/>
    <s v="Win 10"/>
    <x v="18"/>
    <s v="Pendrive"/>
    <s v="-"/>
    <s v="E6429"/>
    <s v="E15S"/>
    <s v="Pegatron"/>
    <x v="0"/>
    <m/>
    <n v="3"/>
    <m/>
  </r>
  <r>
    <x v="478"/>
    <s v="-"/>
    <n v="30025130"/>
    <m/>
    <s v="Srebrny"/>
    <s v="Błyszczący 720p"/>
    <s v=";1 TB HDD"/>
    <s v="4 GB"/>
    <s v="Pentium 4415U"/>
    <s v="2,3 Ghz"/>
    <s v="Win 10"/>
    <x v="223"/>
    <s v="Pendrive"/>
    <s v="TP firmware"/>
    <s v="E6436 "/>
    <s v="E15K"/>
    <s v="Pegatron"/>
    <x v="0"/>
    <m/>
    <n v="3"/>
    <m/>
  </r>
  <r>
    <x v="479"/>
    <s v="-"/>
    <n v="30024869"/>
    <s v="-"/>
    <s v="Srebrny"/>
    <s v="Matowy 1080p"/>
    <s v="32 GB eMMC;"/>
    <s v="4 GB"/>
    <s v="Pentium N3700"/>
    <s v="1,6 Ghz"/>
    <s v="Win 10"/>
    <x v="224"/>
    <s v="Pendrive"/>
    <s v="EC"/>
    <s v="S4219"/>
    <s v="NSBW1x02"/>
    <s v="Tongfang"/>
    <x v="0"/>
    <m/>
    <n v="4"/>
    <m/>
  </r>
  <r>
    <x v="480"/>
    <s v="-"/>
    <n v="30024877"/>
    <s v="-"/>
    <s v="czarny gumowany"/>
    <s v="Matowy 1080p"/>
    <s v="128 GB SSD; 1 TB HDD"/>
    <s v="8 GB"/>
    <s v="i5-6200U"/>
    <s v="2,3-2,8 Ghz"/>
    <s v="Win 10"/>
    <x v="20"/>
    <s v="Pendrive"/>
    <s v="-"/>
    <s v="P7643"/>
    <s v="D17S"/>
    <s v="Pegatron"/>
    <x v="1"/>
    <m/>
    <n v="3"/>
    <s v="GTX 950M 4 GB"/>
  </r>
  <r>
    <x v="481"/>
    <s v="-"/>
    <n v="30024875"/>
    <s v="-"/>
    <s v="Srebrny"/>
    <s v="Matowy 1080p"/>
    <s v="128 GB SSD; 1 TB HDD"/>
    <s v="6 GB"/>
    <s v="i5-7200U"/>
    <s v="2,5-3,1 Ghz"/>
    <s v="Win 10"/>
    <x v="225"/>
    <s v="Pendrive"/>
    <s v="-"/>
    <s v="E6437"/>
    <s v="F15K"/>
    <s v="Pegatron"/>
    <x v="1"/>
    <m/>
    <n v="3"/>
    <m/>
  </r>
  <r>
    <x v="482"/>
    <s v="-"/>
    <n v="30025132"/>
    <s v="-"/>
    <s v="Srebrny"/>
    <s v="Matowy 1080p"/>
    <s v="128 GB SSD; 1,5 TB HDD"/>
    <s v="6 GB"/>
    <s v="Pentium 4415U"/>
    <s v="2,3 GHz"/>
    <s v="Win 10"/>
    <x v="226"/>
    <s v="Pendrive"/>
    <s v="TP firmware"/>
    <s v="E6435"/>
    <s v="E15K"/>
    <s v="Pegatron"/>
    <x v="0"/>
    <m/>
    <n v="3"/>
    <m/>
  </r>
  <r>
    <x v="483"/>
    <s v="-"/>
    <n v="30024903"/>
    <s v="-"/>
    <s v="czarny gumowany"/>
    <s v="Matowy 1080p"/>
    <s v="512 GB SSD; 1,5 TB HDD"/>
    <s v="16 GB"/>
    <s v="i7-7500U"/>
    <s v="2,7-3,5 Ghz"/>
    <s v="Win 10"/>
    <x v="227"/>
    <s v="Pendrive"/>
    <s v="-"/>
    <s v="P6684"/>
    <s v="E15KR"/>
    <s v="Pegatron"/>
    <x v="0"/>
    <m/>
    <n v="3"/>
    <s v="GTX 1050 4 GB"/>
  </r>
  <r>
    <x v="484"/>
    <s v="-"/>
    <n v="30024864"/>
    <s v="-"/>
    <s v="Srebrny"/>
    <s v="Matowy 1080p"/>
    <s v="256 GB SSD;"/>
    <s v="8 GB"/>
    <s v="i5-7200U"/>
    <s v="2,5-3,1 Ghz"/>
    <s v="Win 10"/>
    <x v="49"/>
    <s v="Pendrive"/>
    <s v="tp firmware"/>
    <s v="E6435"/>
    <s v="E15K"/>
    <s v="Pegatron"/>
    <x v="0"/>
    <m/>
    <n v="3"/>
    <m/>
  </r>
  <r>
    <x v="485"/>
    <s v="-"/>
    <n v="30024890"/>
    <s v="-"/>
    <s v="czarny gumowany"/>
    <s v="Matowy 1080p"/>
    <s v="128 GB SSD; 1 TB HDD"/>
    <s v="16 GB"/>
    <s v="i7-6500U"/>
    <s v="2,5-3,1"/>
    <s v="Win 10"/>
    <x v="228"/>
    <s v="Pendrive"/>
    <s v="sponge/porony"/>
    <s v="P6661"/>
    <s v="D15S"/>
    <s v="Pegatron"/>
    <x v="1"/>
    <m/>
    <n v="3"/>
    <s v="GTX 950M 4 GB"/>
  </r>
  <r>
    <x v="486"/>
    <s v="-"/>
    <n v="30024642"/>
    <s v="-"/>
    <s v="Czarny"/>
    <s v="Matowy 1080p"/>
    <s v="256 GB SSD; 1,5 TB HDD "/>
    <s v="16 GB"/>
    <s v="i7-6700HQ"/>
    <s v="2,6-3,5 Ghz"/>
    <s v="Win 10"/>
    <x v="229"/>
    <s v="Pendrive"/>
    <s v="SWM na C: 20062423"/>
    <s v="X6601"/>
    <s v="N155RD1-M"/>
    <s v="Pegatron"/>
    <x v="0"/>
    <m/>
    <n v="3"/>
    <s v="GTX 960M 2 GB"/>
  </r>
  <r>
    <x v="487"/>
    <s v="-"/>
    <n v="30024907"/>
    <s v="-"/>
    <s v="Srebrny"/>
    <s v="Matowy 1080p"/>
    <s v="128 GB SSD; 1 TB HDD"/>
    <s v="6 GB"/>
    <s v="Pentium 4415U"/>
    <s v="2,3 Ghz"/>
    <s v="Win 10"/>
    <x v="230"/>
    <s v="Pendrive"/>
    <s v="-"/>
    <s v="E7426"/>
    <s v="D17KxR"/>
    <s v="Pegatron"/>
    <x v="1"/>
    <m/>
    <n v="3"/>
    <m/>
  </r>
  <r>
    <x v="488"/>
    <s v="-"/>
    <n v="30024908"/>
    <s v="-"/>
    <s v="Grafitowy"/>
    <s v="Błyszczący 1080p"/>
    <s v="128 GB SSD; 1,5 TB HDD"/>
    <s v="16 GB"/>
    <s v="i5-6200U"/>
    <s v="2,3-2,8 Ghz"/>
    <s v="Win 10"/>
    <x v="21"/>
    <s v="Pendrive"/>
    <s v="sponge/porony"/>
    <s v="P6667"/>
    <s v="D15S"/>
    <s v="Pegatron"/>
    <x v="1"/>
    <m/>
    <n v="3"/>
    <s v="GTX 940 MX 2 GB"/>
  </r>
  <r>
    <x v="489"/>
    <s v="-"/>
    <n v="30025109"/>
    <s v="-"/>
    <s v="czarny gumowany"/>
    <s v="Matowy 1080p"/>
    <s v="256 GB SSD; 1 TB HDD"/>
    <s v="8 GB"/>
    <s v="i5-7200U"/>
    <s v="2,5 Ghz"/>
    <s v="Win 10"/>
    <x v="227"/>
    <s v="Pendrive"/>
    <s v="-"/>
    <s v="P6681"/>
    <s v="E15KR"/>
    <s v="Pegatron"/>
    <x v="0"/>
    <m/>
    <n v="3"/>
    <s v="GTX 1050 4 GB"/>
  </r>
  <r>
    <x v="490"/>
    <s v="-"/>
    <n v="30024861"/>
    <s v="-"/>
    <s v="Srebrny"/>
    <s v="Dotykowy 720p"/>
    <s v="64 GB eMMc;"/>
    <s v="2 GB"/>
    <s v="Atom X5-Z8350"/>
    <s v="1,44-1,92 Ghz"/>
    <s v="Win 10"/>
    <x v="212"/>
    <s v="Pendrive"/>
    <s v="Magnesy w TOP CASE! Update biosu, do najwyższego Build Date."/>
    <s v="E2225T"/>
    <s v="Nt16H"/>
    <s v="Emdoor"/>
    <x v="0"/>
    <m/>
    <n v="2"/>
    <m/>
  </r>
  <r>
    <x v="491"/>
    <s v="-"/>
    <n v="30024884"/>
    <s v="-"/>
    <s v="Brązowy"/>
    <s v="Matowy 720p"/>
    <s v="128 GB SSD; 1 TB HDD"/>
    <s v="12 GB"/>
    <s v="i3-5005U"/>
    <s v="2 GHz"/>
    <s v="Win 10"/>
    <x v="28"/>
    <s v="Pendrive"/>
    <s v="sponge/porony"/>
    <s v="E6415"/>
    <s v="D15D"/>
    <s v="Pegatron"/>
    <x v="1"/>
    <m/>
    <n v="3"/>
    <m/>
  </r>
  <r>
    <x v="492"/>
    <s v="-"/>
    <n v="30024897"/>
    <s v="-"/>
    <s v="Brązowy"/>
    <s v="Matowy 1080p"/>
    <s v="; 1 TB HDD"/>
    <s v="8 GB"/>
    <s v="i3-5005U"/>
    <s v="2 GHz"/>
    <s v="-"/>
    <x v="22"/>
    <s v="-"/>
    <s v="windows LIVE"/>
    <s v="E6415"/>
    <s v="D15D"/>
    <s v="Pegatron"/>
    <x v="1"/>
    <m/>
    <n v="3"/>
    <m/>
  </r>
  <r>
    <x v="493"/>
    <s v="-"/>
    <n v="30024865"/>
    <s v="-"/>
    <s v="Srebrny"/>
    <s v="Matowy 1080p"/>
    <s v="128 GB SSD;"/>
    <s v="4 GB"/>
    <s v="i3-7100U"/>
    <s v="2,4 Ghz"/>
    <s v="Win 10"/>
    <x v="35"/>
    <s v="Pendrive"/>
    <m/>
    <s v="S3409"/>
    <s v="F13K"/>
    <s v="Pegatron"/>
    <x v="1"/>
    <m/>
    <n v="3"/>
    <m/>
  </r>
  <r>
    <x v="494"/>
    <s v="-"/>
    <n v="30024888"/>
    <s v="-"/>
    <s v="Czarny"/>
    <s v="Matowy 720p"/>
    <s v="128 GB eMMc;"/>
    <s v="4 GB"/>
    <s v="Celeron N3050"/>
    <s v="1,6 Ghz"/>
    <s v="Win 10"/>
    <x v="200"/>
    <s v="Pendrive"/>
    <s v="Obowiązkowa instrukcja ME.QA.02.528 / EC"/>
    <s v="S6219"/>
    <s v="NSBW1x02"/>
    <s v="Tongfang"/>
    <x v="0"/>
    <m/>
    <n v="4"/>
    <m/>
  </r>
  <r>
    <x v="495"/>
    <s v="-"/>
    <n v="30024880"/>
    <s v="-"/>
    <s v="Srebrny"/>
    <s v="Matowy 720p"/>
    <s v="128 GB eMMc;"/>
    <s v="4 GB"/>
    <s v="Celeron N3050"/>
    <s v="1,6 Ghz"/>
    <s v="Win 10"/>
    <x v="200"/>
    <s v="Pendrive"/>
    <s v="Obowiązkowa instrukcja ME.QA.02.528 / EC"/>
    <s v="S6219"/>
    <s v="NSBW1x02"/>
    <s v="Tongfang"/>
    <x v="0"/>
    <m/>
    <n v="4"/>
    <m/>
  </r>
  <r>
    <x v="496"/>
    <s v="-"/>
    <n v="30024858"/>
    <s v="-"/>
    <s v="Czarny"/>
    <s v="Matowy 1080p"/>
    <s v="128 GB eMMc;"/>
    <s v="4 GB"/>
    <s v="Celeron N3060"/>
    <s v="1,6 Ghz"/>
    <s v="Win 10"/>
    <x v="59"/>
    <s v="Pendrive"/>
    <s v="Obowiązkowa instrukcja ME.QA.02.528 / EC"/>
    <s v="S6219"/>
    <s v="NSBW1x02"/>
    <s v="Tongfang"/>
    <x v="0"/>
    <m/>
    <n v="4"/>
    <m/>
  </r>
  <r>
    <x v="497"/>
    <s v="-"/>
    <n v="30024905"/>
    <s v="-"/>
    <s v="Brązowy"/>
    <s v="Matowy 1080p"/>
    <s v="; 1 TB HDD"/>
    <s v="8 GB"/>
    <s v="M-5Y31"/>
    <s v="0,9-2,4 Ghz"/>
    <s v="Win 10"/>
    <x v="180"/>
    <s v="Pendrive"/>
    <s v="-"/>
    <s v="S6417"/>
    <s v="GOLG 2.0"/>
    <s v="Inventec"/>
    <x v="0"/>
    <m/>
    <n v="1"/>
    <m/>
  </r>
  <r>
    <x v="498"/>
    <s v="-"/>
    <n v="30024886"/>
    <s v="-"/>
    <s v="czarny gumowany"/>
    <s v="Matowy 1080p"/>
    <s v="128 GB SSD; 1 TB HDD"/>
    <s v="8 GB"/>
    <s v="i5-6200U"/>
    <s v="2,3-2,8 Ghz"/>
    <s v="Win 10"/>
    <x v="193"/>
    <s v="Pendrive"/>
    <s v="sponge/porony"/>
    <s v="P6661"/>
    <s v="D15S"/>
    <s v="Pegatron"/>
    <x v="1"/>
    <m/>
    <n v="3"/>
    <s v="GTX 950M 2 GB"/>
  </r>
  <r>
    <x v="499"/>
    <s v="-"/>
    <n v="30024887"/>
    <s v="-"/>
    <s v="czarny gumowany"/>
    <s v="Matowy 1080p"/>
    <s v="128 GB SSD; 1 TB HDD"/>
    <s v="8 GB"/>
    <s v="i5-6200U"/>
    <s v="2,3-2,8 Ghz"/>
    <s v="Win 10"/>
    <x v="228"/>
    <s v="Pendrive"/>
    <s v="sponge/porony"/>
    <s v="P6661"/>
    <s v="D15S"/>
    <s v="Pegatron"/>
    <x v="1"/>
    <m/>
    <n v="3"/>
    <s v="GTX 950M 4 GB"/>
  </r>
  <r>
    <x v="500"/>
    <s v="-"/>
    <n v="30024887"/>
    <s v="-"/>
    <s v="czarny gumowany"/>
    <s v="Matowy 1080p"/>
    <s v="256 GB SSD; 1,5 TB HDD "/>
    <s v="12 GB"/>
    <s v="i5-6200U"/>
    <s v="2,3-2,8 Ghz"/>
    <s v="Win 10"/>
    <x v="228"/>
    <s v="Pendrive"/>
    <s v="sponge/porony"/>
    <s v="P6661"/>
    <s v="D15S"/>
    <s v="Pegatron"/>
    <x v="1"/>
    <m/>
    <n v="3"/>
    <s v="GTX 950M 4 GB"/>
  </r>
  <r>
    <x v="501"/>
    <s v="-"/>
    <n v="30024906"/>
    <s v="-"/>
    <s v="czarny gumowany"/>
    <s v="Matowy 1080p"/>
    <s v="256 GB SSD; 1,5 TB HDD "/>
    <s v="16 GB"/>
    <s v="i7-6500U"/>
    <s v="2,5-3,1 GHz"/>
    <s v="Win 10"/>
    <x v="228"/>
    <s v="Pendrive"/>
    <s v="-"/>
    <s v="P7643"/>
    <s v="D17S"/>
    <s v="Pegatron"/>
    <x v="1"/>
    <m/>
    <n v="3"/>
    <s v="GTX 950M 4 GB"/>
  </r>
  <r>
    <x v="502"/>
    <s v="-"/>
    <n v="30024853"/>
    <s v="-"/>
    <s v="Srebrny"/>
    <s v="Dotykowy 1080P"/>
    <s v="128 GB eMMc;"/>
    <s v="4 GB"/>
    <s v="Pentium N4200"/>
    <s v="1,1 Ghz"/>
    <s v="Win 10"/>
    <x v="231"/>
    <s v="Pendrive"/>
    <s v="-"/>
    <s v="E3213"/>
    <s v="NT13A"/>
    <s v="Emdoor"/>
    <x v="1"/>
    <m/>
    <s v="bez"/>
    <m/>
  </r>
  <r>
    <x v="503"/>
    <s v="-"/>
    <n v="30024851"/>
    <s v="-"/>
    <s v="Srebrny"/>
    <s v="Dotykowy 1080P"/>
    <s v="64 GB eMMc;"/>
    <s v="4 GB"/>
    <s v="Celeron N3350"/>
    <s v="1,1 Ghz"/>
    <s v="Win 10"/>
    <x v="232"/>
    <s v="Pendrive"/>
    <s v="-"/>
    <s v="E3213"/>
    <s v="NT13A"/>
    <s v="Emdoor"/>
    <x v="1"/>
    <m/>
    <s v="bez"/>
    <m/>
  </r>
  <r>
    <x v="504"/>
    <s v="-"/>
    <n v="30024904"/>
    <s v="-"/>
    <s v="Biały"/>
    <s v="Dotykowy 720p"/>
    <s v="64 GB eMMc;"/>
    <s v="2 GB"/>
    <s v="Atom X5-Z8350"/>
    <s v="1,44-1,92 Ghz"/>
    <s v="Win 10"/>
    <x v="62"/>
    <s v="Pendrive"/>
    <s v="Magnesy w TOP CASE! Update biosu, do najwyższego Build Date."/>
    <s v="E2225T"/>
    <s v="NT16H"/>
    <s v="Emdoor"/>
    <x v="0"/>
    <m/>
    <n v="2"/>
    <m/>
  </r>
  <r>
    <x v="505"/>
    <s v="-"/>
    <n v="30024874"/>
    <s v="-"/>
    <s v="czarny gumowany"/>
    <s v="Matowy 1080p"/>
    <s v="128 GB SSD; 1 TB HDD"/>
    <s v="8 GB"/>
    <s v="i5-6200U"/>
    <s v="2,3-2,8 Ghz"/>
    <s v="Win 10"/>
    <x v="20"/>
    <s v="Pendrive"/>
    <s v="sponge/porony"/>
    <s v="P6661"/>
    <s v="D15S"/>
    <s v="Pegatron"/>
    <x v="1"/>
    <m/>
    <n v="3"/>
    <s v="GTX 950M 4 GB"/>
  </r>
  <r>
    <x v="506"/>
    <s v="-"/>
    <n v="30024881"/>
    <s v="-"/>
    <s v="czarny gumowany"/>
    <s v="Matowy 1080p"/>
    <s v="128 GB SSD; 1 TB HDD"/>
    <s v="8 GB"/>
    <s v="i7-6500U"/>
    <s v="2,5-3,1 GHz"/>
    <s v="Win 10"/>
    <x v="233"/>
    <s v="Pendrive"/>
    <s v="sponge/porony, SWM na C: 20062823 "/>
    <s v="P6661"/>
    <s v="D15S"/>
    <s v="Pegatron"/>
    <x v="1"/>
    <m/>
    <n v="3"/>
    <s v="GTX 950M 4 GB"/>
  </r>
  <r>
    <x v="507"/>
    <s v="-"/>
    <n v="30024911"/>
    <s v="-"/>
    <s v="Srebrny"/>
    <s v="Matowy 1080p"/>
    <s v="256 GB SSD;"/>
    <s v="8 GB"/>
    <s v="i7-7500U"/>
    <s v="2,7-3,5 Ghz"/>
    <s v="Win 10"/>
    <x v="37"/>
    <s v="Pendrive"/>
    <s v="-"/>
    <s v="S3409"/>
    <s v="F13K"/>
    <s v="Pegatron"/>
    <x v="1"/>
    <m/>
    <n v="3"/>
    <m/>
  </r>
  <r>
    <x v="508"/>
    <s v="-"/>
    <n v="30024876"/>
    <s v="-"/>
    <s v="Srebrny"/>
    <s v="Matowy 1080p"/>
    <s v="64 GB eMMc; 500 GB HDD"/>
    <s v="4 GB"/>
    <s v="Pentium N3710"/>
    <s v="1.6 Ghz"/>
    <s v="Win 10"/>
    <x v="23"/>
    <s v="Pendrive"/>
    <s v="EC"/>
    <s v="S4219"/>
    <s v="NSBW1x02"/>
    <s v="Tongfang"/>
    <x v="0"/>
    <m/>
    <n v="4"/>
    <m/>
  </r>
  <r>
    <x v="509"/>
    <s v="-"/>
    <n v="30024867"/>
    <s v="-"/>
    <s v="Biały"/>
    <s v="Matowy 1080p"/>
    <s v="32 GB eMMc;"/>
    <s v="2 GB"/>
    <s v="Atom Z3735F"/>
    <s v="1,33-1,83 Ghz"/>
    <s v="Win 10"/>
    <x v="15"/>
    <s v="Pendrive"/>
    <s v="-"/>
    <s v="S2217"/>
    <s v="EF20"/>
    <s v="ECS"/>
    <x v="0"/>
    <m/>
    <s v="bez"/>
    <m/>
  </r>
  <r>
    <x v="510"/>
    <s v="-"/>
    <n v="30024872"/>
    <s v="-"/>
    <s v="Srebrny"/>
    <s v="Matowy 1080p"/>
    <s v="128 GB SSD;"/>
    <s v="4 GB"/>
    <s v="i3-7100U"/>
    <s v="2,4 Ghz"/>
    <s v="Win 10"/>
    <x v="45"/>
    <s v="Pendrive"/>
    <s v="SWM na C: 20062822"/>
    <s v="S3409"/>
    <s v="F13K"/>
    <s v="Pegatron"/>
    <x v="1"/>
    <m/>
    <n v="3"/>
    <m/>
  </r>
  <r>
    <x v="511"/>
    <s v="-"/>
    <n v="30024910"/>
    <s v="-"/>
    <s v="Czarny"/>
    <s v="Matowy 1080p"/>
    <s v="128 GB SSD; 1,5 TB HDD"/>
    <s v="16 GB"/>
    <s v="i7-6700HQ"/>
    <s v="2,6-3,5 Ghz"/>
    <s v="Win 10"/>
    <x v="38"/>
    <s v="Pendrive"/>
    <s v="-"/>
    <s v="x6601"/>
    <s v="N155RD1-M"/>
    <s v="Clevo"/>
    <x v="0"/>
    <m/>
    <n v="3"/>
    <s v="GTX 960M 2 GB"/>
  </r>
  <r>
    <x v="512"/>
    <s v="-"/>
    <n v="30024866"/>
    <s v="-"/>
    <s v="Czarny"/>
    <s v="Matowy 1080p"/>
    <s v="256 GB SSD;"/>
    <s v="8 GB"/>
    <s v="i7-6700HQ"/>
    <s v="2,6-3,5 Ghz"/>
    <s v="Win 10"/>
    <x v="38"/>
    <s v="Pendrive"/>
    <s v="-"/>
    <s v="x6601"/>
    <s v="N155RD1-M"/>
    <s v="Clevo"/>
    <x v="0"/>
    <m/>
    <n v="3"/>
    <s v="GTX 960M 2 GB"/>
  </r>
  <r>
    <x v="513"/>
    <s v="-"/>
    <n v="30024859"/>
    <s v="-"/>
    <s v="Srebrny"/>
    <s v="Dotykowy 1080P"/>
    <s v="64 GB eMMc;"/>
    <s v="4 GB"/>
    <s v="Atom x5-Z8300"/>
    <s v="1,44-1,84 Ghz"/>
    <s v="Win 10"/>
    <x v="63"/>
    <s v="Pendrive"/>
    <s v="Magnesy w TOP CASE! Update biosu, do najwyższego Build Date."/>
    <s v="E2228T"/>
    <s v="NT16H"/>
    <s v="Emdoor"/>
    <x v="0"/>
    <m/>
    <n v="2"/>
    <m/>
  </r>
  <r>
    <x v="514"/>
    <s v="-"/>
    <n v="30025019"/>
    <s v="-"/>
    <s v="Srebrny"/>
    <s v="Dotykowy 1080P"/>
    <s v="64 GB eMMc;"/>
    <s v="4 GB"/>
    <s v="Pentium N4200"/>
    <s v="1,1 Ghz"/>
    <s v="Win 10"/>
    <x v="79"/>
    <s v="Pendrive"/>
    <s v="-"/>
    <s v="E3216"/>
    <s v="NT13A"/>
    <s v="Emdoor"/>
    <x v="1"/>
    <m/>
    <s v="bez"/>
    <m/>
  </r>
  <r>
    <x v="515"/>
    <s v="-"/>
    <n v="30025050"/>
    <s v="-"/>
    <s v="Srebrny"/>
    <s v="Dotykowy 1080P"/>
    <s v="64 GB eMMc;"/>
    <s v="4 GB"/>
    <s v="Pentium N4200"/>
    <s v="1,1 Ghz"/>
    <s v="Win 10"/>
    <x v="79"/>
    <s v="Pendrive"/>
    <s v="-"/>
    <s v="E3216"/>
    <s v="NT13A"/>
    <s v="Emdoor"/>
    <x v="1"/>
    <m/>
    <s v="bez"/>
    <m/>
  </r>
  <r>
    <x v="516"/>
    <s v="-"/>
    <n v="30024868"/>
    <s v="-"/>
    <s v="Grafitowy"/>
    <s v="Matowy 1080p"/>
    <s v="256 GB SSD; 1 TB HDD"/>
    <s v="8 GB"/>
    <s v="i5-7200U"/>
    <s v="2,5-3,1 Ghz"/>
    <s v="Win 10"/>
    <x v="48"/>
    <s v="Pendrive"/>
    <s v="tp firmaware"/>
    <s v="P7645"/>
    <s v="D17K"/>
    <s v="Pegatron"/>
    <x v="1"/>
    <m/>
    <n v="3"/>
    <s v="GTX 940 MX 2 GB"/>
  </r>
  <r>
    <x v="517"/>
    <s v="-"/>
    <n v="30025131"/>
    <s v="-"/>
    <s v="Czarny"/>
    <s v="Dotykowy 1080P"/>
    <s v="64 GB eMMc;"/>
    <s v="4 GB"/>
    <s v="Pentium N4200"/>
    <s v="1,1 Ghz"/>
    <s v="Win 10"/>
    <x v="234"/>
    <s v="Pendrive"/>
    <s v="-"/>
    <s v="E3215"/>
    <s v="NT13A"/>
    <s v="Emdoor"/>
    <x v="1"/>
    <m/>
    <s v="bez"/>
    <m/>
  </r>
  <r>
    <x v="518"/>
    <s v="-"/>
    <n v="30024885"/>
    <s v="-"/>
    <s v="czarny gumowany"/>
    <s v="Matowy 1080p"/>
    <s v="128 GB SSD; 1,5 TB HDD"/>
    <s v="12 GB"/>
    <s v="i7-6500U"/>
    <s v="2,5-3,1 GHz"/>
    <s v="Win 10"/>
    <x v="228"/>
    <s v="Pendrive"/>
    <s v="-"/>
    <s v="P7643"/>
    <s v="D17S"/>
    <s v="Pegatron"/>
    <x v="1"/>
    <m/>
    <n v="3"/>
    <s v="GTX 950M 4 GB"/>
  </r>
  <r>
    <x v="519"/>
    <s v="-"/>
    <n v="30024882"/>
    <s v="-"/>
    <s v="Grafitowy"/>
    <s v="Matowy 1080p"/>
    <s v="128 GB SSD; 1 TB HDD"/>
    <s v="8 GB"/>
    <s v="i5-7200U"/>
    <s v="2,5-3,1 Ghz"/>
    <s v="Win 10"/>
    <x v="48"/>
    <s v="Pendrive"/>
    <s v="tp firmaware"/>
    <s v="P7645"/>
    <s v="D17K"/>
    <s v="Pegatron"/>
    <x v="1"/>
    <m/>
    <n v="3"/>
    <s v="GTX 940 MX 2 GB"/>
  </r>
  <r>
    <x v="520"/>
    <s v="-"/>
    <n v="30025128"/>
    <s v="-"/>
    <s v="Czarny"/>
    <s v="Dotykowy 1080P"/>
    <s v="128 GB eMMc;"/>
    <s v="4 GB"/>
    <s v="Pentium N4200"/>
    <s v="1,1 Ghz"/>
    <s v="Win 10"/>
    <x v="234"/>
    <s v="Pendrive"/>
    <s v="-"/>
    <s v="E3215"/>
    <s v="NT13A"/>
    <s v="Emdoor"/>
    <x v="1"/>
    <m/>
    <s v="bez"/>
    <m/>
  </r>
  <r>
    <x v="521"/>
    <s v="-"/>
    <n v="30024857"/>
    <s v="-"/>
    <s v="Biały"/>
    <s v="Dotykowy 720p"/>
    <s v="32 GB eMMc;"/>
    <s v="2 GB"/>
    <s v="Atom x5-8350"/>
    <s v="1,44-1,92 Ghz"/>
    <s v="Win 10"/>
    <x v="32"/>
    <s v="Pendrive"/>
    <s v="Magnesy w TOP CASE! Update biosu, do najwyższego Build Date."/>
    <s v="E2215T"/>
    <s v="NT16H"/>
    <s v="Emdoor"/>
    <x v="0"/>
    <m/>
    <n v="2"/>
    <m/>
  </r>
  <r>
    <x v="522"/>
    <s v="-"/>
    <n v="30025124"/>
    <s v="-"/>
    <s v="Grafitowy"/>
    <s v="Matowy 1080p"/>
    <s v="128 GB SSD; 1,5 TB HDD"/>
    <s v="8 GB"/>
    <s v="i5-8250U"/>
    <s v="1,6-3,4 Ghz"/>
    <s v="Win 10"/>
    <x v="211"/>
    <s v="Pendrive"/>
    <s v="tp firmware"/>
    <s v="P7649"/>
    <s v="D17KxR"/>
    <s v="Pegatron"/>
    <x v="1"/>
    <m/>
    <n v="3"/>
    <s v="GTX 940 MX 2 GB"/>
  </r>
  <r>
    <x v="523"/>
    <s v="-"/>
    <n v="30025125"/>
    <s v="-"/>
    <s v="Grafitowy"/>
    <s v="Matowy 1080p"/>
    <s v="128 GB SSD; 1,5 TB HDD"/>
    <s v="8 GB"/>
    <s v="i7-8550U"/>
    <s v="1,8-4,0 Ghz"/>
    <s v="Win 10"/>
    <x v="211"/>
    <s v="Pendrive"/>
    <s v="-"/>
    <s v="P7649"/>
    <s v="D17KxR"/>
    <s v="Pegatron"/>
    <x v="1"/>
    <m/>
    <n v="3"/>
    <s v="GTX 940 MX 2 GB"/>
  </r>
  <r>
    <x v="524"/>
    <s v="-"/>
    <n v="30025085"/>
    <s v="-"/>
    <s v="Srebrny"/>
    <s v="Matowy 720p"/>
    <s v="; 500 GB HDD"/>
    <s v="8 GB"/>
    <s v="Pentium 4405U"/>
    <s v="2,1 GHz"/>
    <s v="Win10"/>
    <x v="18"/>
    <s v="Pendrive"/>
    <s v="-"/>
    <s v="E6429"/>
    <s v="E15S"/>
    <s v="Pegatron"/>
    <x v="0"/>
    <m/>
    <n v="3"/>
    <m/>
  </r>
  <r>
    <x v="525"/>
    <s v="-"/>
    <n v="30025126"/>
    <s v="-"/>
    <s v="Srebrny"/>
    <s v="Matowy 1080p"/>
    <s v="128 GB SSD; 1,5 TB HDD"/>
    <s v="6 GB"/>
    <s v="Pentium 4415U"/>
    <s v="2,3 Ghz"/>
    <s v="Win10"/>
    <x v="235"/>
    <s v="Pendrive"/>
    <s v="tp firmware"/>
    <s v="E6436 "/>
    <s v="E15K"/>
    <s v="Pegatron"/>
    <x v="0"/>
    <m/>
    <n v="3"/>
    <m/>
  </r>
  <r>
    <x v="526"/>
    <s v="-"/>
    <n v="30024901"/>
    <s v="-"/>
    <s v="czarny gumowany"/>
    <s v="Matowy 1080p"/>
    <s v="256 GB SSD; 1 TB HDD"/>
    <s v="16 GB"/>
    <s v="i7-7500U"/>
    <s v="2,7-3,5 Ghz"/>
    <s v="Win10"/>
    <x v="209"/>
    <s v="Pendrive"/>
    <s v="tp firmware"/>
    <s v="P7647"/>
    <s v="D17K"/>
    <s v="Pegatron"/>
    <x v="1"/>
    <m/>
    <n v="3"/>
    <s v="GTX 950M 4 GB"/>
  </r>
  <r>
    <x v="527"/>
    <s v="-"/>
    <n v="30024883"/>
    <s v="-"/>
    <s v="Srebrny"/>
    <s v="Matowy 1080p"/>
    <s v="128 GB SSD; 1,5 TB HDD"/>
    <s v="8 GB"/>
    <s v="i5-6200U"/>
    <s v="2,3-2,8 Ghz"/>
    <s v="Win10"/>
    <x v="53"/>
    <s v="Pendrive"/>
    <s v="sponge poron"/>
    <s v="E6421"/>
    <s v="D15S"/>
    <s v="Pegatron"/>
    <x v="1"/>
    <m/>
    <n v="3"/>
    <m/>
  </r>
  <r>
    <x v="528"/>
    <s v="-"/>
    <n v="30025087"/>
    <s v="-"/>
    <s v="Czarny"/>
    <s v="Matowy 1080p"/>
    <s v="256 GB SSD; 1,5 TB HDD"/>
    <s v="32 GB"/>
    <s v="i7-6700HQ"/>
    <s v="2,6-35 Ghz"/>
    <s v="Win10"/>
    <x v="38"/>
    <s v="Pendrive"/>
    <m/>
    <s v="X6601"/>
    <s v="N155RD1-M"/>
    <s v="Clevo"/>
    <x v="0"/>
    <m/>
    <n v="3"/>
    <s v="GTX 960M 2 GB"/>
  </r>
  <r>
    <x v="529"/>
    <s v="-"/>
    <n v="30025102"/>
    <s v="-"/>
    <s v="Srebrny"/>
    <s v="Błyszczący 720p"/>
    <s v="256 GB SSD;"/>
    <s v="4 GB"/>
    <s v="i3-6006U"/>
    <m/>
    <s v="Win10"/>
    <x v="65"/>
    <s v="Pendrive"/>
    <s v="usb 2.0"/>
    <s v="S6421"/>
    <s v="NSSL1502"/>
    <s v="Tongfang"/>
    <x v="0"/>
    <m/>
    <n v="4"/>
    <m/>
  </r>
  <r>
    <x v="530"/>
    <s v="-"/>
    <n v="30025100"/>
    <s v="-"/>
    <s v="Czarny"/>
    <s v="Matowy 1080p"/>
    <s v="256 GB SSD;"/>
    <s v="4 GB"/>
    <s v="i3-5005U"/>
    <s v="2 Ghz"/>
    <s v="Win 10"/>
    <x v="236"/>
    <s v="Pendrive"/>
    <s v="-"/>
    <s v="E7415"/>
    <s v="D17D"/>
    <s v="Pegatron"/>
    <x v="1"/>
    <m/>
    <n v="3"/>
    <m/>
  </r>
  <r>
    <x v="531"/>
    <s v="-"/>
    <n v="30025103"/>
    <s v="-"/>
    <s v="Srebrny"/>
    <s v="Matowy 1080p"/>
    <s v="128 GB SSD; 1 TB HDD"/>
    <s v="4 GB"/>
    <s v="i5-6200U"/>
    <s v="2,3-2,8 GHz"/>
    <s v="Win 10"/>
    <x v="53"/>
    <s v="Pendrive"/>
    <s v="sponge/porony"/>
    <s v="E6421"/>
    <s v="D15S"/>
    <s v="Pegatron"/>
    <x v="1"/>
    <m/>
    <n v="3"/>
    <m/>
  </r>
  <r>
    <x v="532"/>
    <s v="-"/>
    <n v="30025105"/>
    <s v="-"/>
    <s v="czarny gumowany"/>
    <s v="Matowy 1080p"/>
    <s v="; 1 TB HDD"/>
    <s v="8 GB"/>
    <s v="i5-7300HQ"/>
    <s v="2,5-3,5 Ghz"/>
    <s v="Win 10"/>
    <x v="208"/>
    <s v="Pendrive"/>
    <s v="Automatyczny shipping mode przy pieczętowaniu."/>
    <s v="X6603"/>
    <s v="DY518"/>
    <s v="LCFC"/>
    <x v="0"/>
    <m/>
    <n v="4"/>
    <s v="GTX 1050 Ti 4 GB"/>
  </r>
  <r>
    <x v="533"/>
    <s v="-"/>
    <n v="30025104"/>
    <s v="-"/>
    <s v="czarny gumowany"/>
    <s v="Matowy 1080p"/>
    <s v="256 GB SSD; 1,5 TB HDD"/>
    <s v="16 GB"/>
    <s v="i7-7500U"/>
    <s v="2,7-3,5 Ghz"/>
    <s v="Win 10"/>
    <x v="227"/>
    <s v="Pendrive"/>
    <s v="-"/>
    <s v="P6681"/>
    <s v="E15KR"/>
    <s v="Pegatron"/>
    <x v="0"/>
    <m/>
    <n v="3"/>
    <s v="GTX 1050 4 GB"/>
  </r>
  <r>
    <x v="534"/>
    <s v="-"/>
    <n v="30025248"/>
    <s v="-"/>
    <s v="Srebrny"/>
    <s v="Matowy 1080p"/>
    <s v="256 GB SSD;"/>
    <s v="6 GB"/>
    <s v="i5-8250U"/>
    <s v="1,6-3,4 Ghz"/>
    <s v="Win 10"/>
    <x v="237"/>
    <s v="Pendrive"/>
    <s v="-"/>
    <s v="E6426"/>
    <s v="F15KxR"/>
    <s v="Pegatron"/>
    <x v="1"/>
    <m/>
    <n v="3"/>
    <m/>
  </r>
  <r>
    <x v="535"/>
    <s v="-"/>
    <n v="30025107"/>
    <s v="-"/>
    <s v="czarny gumowany"/>
    <s v="Matowy 1080p"/>
    <s v="256 GB SSD;"/>
    <s v="8 GB"/>
    <s v="i5-8250U"/>
    <s v="1,6-3,4 Ghz"/>
    <s v="Win 10"/>
    <x v="238"/>
    <s v="Pendrive"/>
    <s v="-"/>
    <s v="P6689"/>
    <s v="E15KR"/>
    <s v="Pegatron"/>
    <x v="0"/>
    <m/>
    <n v="3"/>
    <s v="GTX 1050 4 GB"/>
  </r>
  <r>
    <x v="536"/>
    <s v="-"/>
    <n v="30025081"/>
    <s v="-"/>
    <s v="czarny gumowany"/>
    <s v="Matowy 1080p"/>
    <s v="128 GB SSD; 1 TB HDD"/>
    <s v="8 GB"/>
    <s v="i7-6700HQ"/>
    <m/>
    <s v="Win10"/>
    <x v="239"/>
    <s v="Pendrive"/>
    <s v="WMSET przed flashem bios, EC"/>
    <s v="X7843"/>
    <s v="P670 RE1-M"/>
    <s v="Clevo"/>
    <x v="0"/>
    <m/>
    <n v="3"/>
    <s v="GRX 980M 4 GB"/>
  </r>
  <r>
    <x v="537"/>
    <s v="-"/>
    <n v="30025110"/>
    <s v="-"/>
    <s v="Srebrny"/>
    <s v="Dotykowy 1080P"/>
    <s v="128 GB eMMC;"/>
    <s v="2 GB"/>
    <s v="Atom x5-Z8350"/>
    <s v="1,44 - 1,92 Ghz"/>
    <s v="Win 10"/>
    <x v="240"/>
    <s v="Pendrive"/>
    <s v="-"/>
    <s v="E1239T"/>
    <s v="3165 3ND"/>
    <s v="Wingman"/>
    <x v="0"/>
    <m/>
    <n v="2"/>
    <m/>
  </r>
  <r>
    <x v="538"/>
    <s v="-"/>
    <n v="30024889"/>
    <s v="-"/>
    <s v="Złoty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x v="0"/>
    <m/>
    <n v="2"/>
    <m/>
  </r>
  <r>
    <x v="539"/>
    <s v="-"/>
    <n v="30024856"/>
    <s v="-"/>
    <s v="Srebrny"/>
    <s v="Dotykowy 1080P"/>
    <s v="64 GB eMMC;"/>
    <s v="2 GB"/>
    <s v="Atom x5-Z8350"/>
    <s v="1,44 - 1,92 Ghz"/>
    <s v="Win 10"/>
    <x v="240"/>
    <s v="Pendrive"/>
    <s v="-"/>
    <s v="E1239T"/>
    <s v="3165 3ND"/>
    <s v="Wingman"/>
    <x v="0"/>
    <m/>
    <n v="2"/>
    <m/>
  </r>
  <r>
    <x v="540"/>
    <s v="-"/>
    <n v="30024873"/>
    <s v="-"/>
    <s v="Grafitowy"/>
    <s v="Matowy 1080p"/>
    <s v="256 GB SSD;"/>
    <s v="8 GB"/>
    <s v="i7-7500U"/>
    <s v="2,7-3,5 Ghz"/>
    <s v="Win10"/>
    <x v="42"/>
    <s v="Pendrive"/>
    <s v="tp firmware"/>
    <s v="P6677"/>
    <s v="E15K"/>
    <s v="Pegatron"/>
    <x v="0"/>
    <m/>
    <n v="3"/>
    <s v="GTX 940 MX 2 GB"/>
  </r>
  <r>
    <x v="541"/>
    <s v="-"/>
    <n v="30025101"/>
    <s v="-"/>
    <s v="Srebrny"/>
    <s v="Błyszczący 720p"/>
    <s v="128 GB eMMc; 1 TB HDD"/>
    <s v="8 GB"/>
    <s v="i5-6200U"/>
    <s v="2,3-2,8 Ghz"/>
    <s v="Win10"/>
    <x v="65"/>
    <s v="Pendrive"/>
    <m/>
    <s v="S6421"/>
    <s v="NSSL1502"/>
    <s v="Tongfang"/>
    <x v="0"/>
    <m/>
    <n v="4"/>
    <m/>
  </r>
  <r>
    <x v="542"/>
    <s v="-"/>
    <n v="30025236"/>
    <s v="-"/>
    <s v="czarny gumowany"/>
    <s v="Matowy 1080p"/>
    <s v="256 GB SSD; 1 TB HDD"/>
    <s v="8 GB"/>
    <s v="i5-7200U"/>
    <s v="2,5-3,1 Ghz"/>
    <s v="Win10"/>
    <x v="57"/>
    <s v="Pendrive"/>
    <s v="tp firmware"/>
    <s v="P7647"/>
    <s v="D17K"/>
    <s v="Pegatron"/>
    <x v="1"/>
    <m/>
    <n v="3"/>
    <s v="GTX 950M 4 GB"/>
  </r>
  <r>
    <x v="543"/>
    <s v="-"/>
    <n v="30025089"/>
    <s v="-"/>
    <s v="Srebrny"/>
    <s v="Błyszczący 1440p"/>
    <s v="256 GB SSD;"/>
    <s v="8 GB"/>
    <s v="i5-7200U"/>
    <s v="2,5-3,1 Ghz"/>
    <s v="Win10"/>
    <x v="45"/>
    <s v="Pendrive"/>
    <m/>
    <s v="S3409"/>
    <s v="F13K"/>
    <s v="Pegatron"/>
    <x v="1"/>
    <m/>
    <n v="3"/>
    <m/>
  </r>
  <r>
    <x v="544"/>
    <s v="-"/>
    <n v="30024879"/>
    <s v="-"/>
    <s v="Biały"/>
    <s v="Błyszczący 720p"/>
    <s v="256 GB SSD;"/>
    <s v="4 GB"/>
    <s v="i3-6006U"/>
    <s v="2,3 Ghz"/>
    <s v="Win10"/>
    <x v="65"/>
    <s v="Pendrive"/>
    <m/>
    <s v="S6421"/>
    <s v="NSSL1502"/>
    <s v="Tongfang"/>
    <x v="0"/>
    <m/>
    <n v="4"/>
    <m/>
  </r>
  <r>
    <x v="545"/>
    <s v="-"/>
    <n v="30025106"/>
    <s v="-"/>
    <s v="Biały"/>
    <s v="Matowy 1080p"/>
    <s v="128 GB eMMc;"/>
    <s v="4 GB"/>
    <s v="i3-6006U"/>
    <s v="2,3 Ghz"/>
    <s v="Win10"/>
    <x v="65"/>
    <s v="Pendrive"/>
    <m/>
    <s v="S6421"/>
    <s v="NSSL1502"/>
    <s v="Tongfang"/>
    <x v="0"/>
    <m/>
    <n v="4"/>
    <m/>
  </r>
  <r>
    <x v="546"/>
    <s v="-"/>
    <n v="30025233"/>
    <s v="-"/>
    <s v="czarny gumowany"/>
    <s v="Matowy 1080p"/>
    <s v="480 GB SSD; 2 TB HDD"/>
    <s v="32 GB"/>
    <s v="i7-6820HK"/>
    <s v="2,7-3,6 Ghz"/>
    <s v="Win10"/>
    <x v="213"/>
    <s v="Pendrive"/>
    <m/>
    <s v="X7849"/>
    <s v="P670RS-GM"/>
    <s v="Clevo"/>
    <x v="0"/>
    <m/>
    <n v="3"/>
    <s v="GTX 1070 8 GB"/>
  </r>
  <r>
    <x v="547"/>
    <s v="-"/>
    <m/>
    <s v="-"/>
    <s v="Grafitowy"/>
    <s v="Matowy 1080p"/>
    <s v="128 GB SSD; 1 TB HDD"/>
    <s v="8 GB"/>
    <s v="i7-7500U"/>
    <s v="2,7-3,5 Ghz"/>
    <s v="Win10"/>
    <x v="48"/>
    <s v="Pendrive"/>
    <s v="tp firmware, KB NL!"/>
    <s v="P7645"/>
    <s v="D17K"/>
    <s v="Pegatron"/>
    <x v="1"/>
    <m/>
    <n v="3"/>
    <s v="GTX 940MX 2 GB"/>
  </r>
  <r>
    <x v="548"/>
    <s v="-"/>
    <n v="30025123"/>
    <s v="-"/>
    <s v="czarny gumowany"/>
    <s v="Matowy 1080p"/>
    <s v="256 GB SSD; 1 TB HDD"/>
    <s v="16 GB"/>
    <s v="i7-8550U"/>
    <s v="1,8-4,0 Ghz"/>
    <s v="Win 10"/>
    <x v="242"/>
    <s v="Pendrive"/>
    <s v="-"/>
    <s v="P7651"/>
    <s v="D17KxR"/>
    <s v="Pegatron"/>
    <x v="1"/>
    <m/>
    <n v="3"/>
    <s v="GTX 1050 4 GB"/>
  </r>
  <r>
    <x v="549"/>
    <s v="-"/>
    <n v="30025111"/>
    <s v="-"/>
    <s v="Czarny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x v="0"/>
    <m/>
    <n v="2"/>
    <m/>
  </r>
  <r>
    <x v="550"/>
    <s v="-"/>
    <n v="30024891"/>
    <s v="-"/>
    <s v="Biały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x v="0"/>
    <m/>
    <n v="2"/>
    <m/>
  </r>
  <r>
    <x v="551"/>
    <s v="-"/>
    <n v="30025115"/>
    <s v="-"/>
    <s v="Biały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x v="0"/>
    <m/>
    <n v="2"/>
    <m/>
  </r>
  <r>
    <x v="552"/>
    <s v="-"/>
    <n v="30025116"/>
    <s v="-"/>
    <s v="rose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x v="0"/>
    <m/>
    <n v="2"/>
    <m/>
  </r>
  <r>
    <x v="553"/>
    <s v="-"/>
    <n v="30025113"/>
    <s v="-"/>
    <s v="Złoty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x v="0"/>
    <m/>
    <n v="2"/>
    <m/>
  </r>
  <r>
    <x v="554"/>
    <s v="-"/>
    <n v="30025112"/>
    <s v="-"/>
    <s v="Czarny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x v="0"/>
    <m/>
    <n v="2"/>
    <m/>
  </r>
  <r>
    <x v="555"/>
    <s v="-"/>
    <n v="30024892"/>
    <s v="-"/>
    <s v="rose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x v="0"/>
    <m/>
    <n v="2"/>
    <m/>
  </r>
  <r>
    <x v="556"/>
    <s v="-"/>
    <n v="30025114"/>
    <s v="-"/>
    <s v="Biały"/>
    <s v="Dotykowy 720p"/>
    <s v="128 GB eMMc;"/>
    <s v="4 GB"/>
    <s v="Atom x5-Z8350"/>
    <s v="1,44-1,92 Ghz"/>
    <s v="Win 10"/>
    <x v="241"/>
    <s v="Pendrive"/>
    <s v="Update biosu, do najwyższego Build Date."/>
    <s v="E2221T"/>
    <s v="NT16H"/>
    <s v="Emdoor"/>
    <x v="0"/>
    <m/>
    <n v="2"/>
    <m/>
  </r>
  <r>
    <x v="557"/>
    <s v="-"/>
    <n v="30025240"/>
    <s v="-"/>
    <s v="czarny gumowany"/>
    <s v="Matowy 1080p"/>
    <s v="256 GB SSD; 1 TB HDD"/>
    <s v="16 GB"/>
    <s v="i7-7700HQ"/>
    <s v="2,8-3,8 Ghz"/>
    <s v="Win10"/>
    <x v="243"/>
    <s v="Pendrive"/>
    <m/>
    <s v="X7853"/>
    <s v="P670RS"/>
    <s v="Clevo"/>
    <x v="0"/>
    <m/>
    <n v="3"/>
    <s v="GTX 1070 8 GB"/>
  </r>
  <r>
    <x v="558"/>
    <s v="-"/>
    <n v="30025238"/>
    <s v="-"/>
    <s v="czarny gumowany"/>
    <s v="Matowy 1080p"/>
    <s v="256 GB SSD; 1 TB HDD"/>
    <s v="16 GB"/>
    <s v="i7-7700HQ"/>
    <s v="2,8-3,8 Ghz"/>
    <s v="Win10"/>
    <x v="243"/>
    <s v="Pendrive"/>
    <m/>
    <s v="X7851"/>
    <s v="P670RS"/>
    <s v="Clevo"/>
    <x v="0"/>
    <m/>
    <n v="3"/>
    <s v="GTX 1060 6 GB"/>
  </r>
  <r>
    <x v="559"/>
    <s v="-"/>
    <n v="30025121"/>
    <s v="-"/>
    <s v="czarny gumowany"/>
    <s v="Matowy 1080p"/>
    <s v="128 GB SSD; 1 TB HDD"/>
    <s v="16 GB"/>
    <s v="i5-7300HQ"/>
    <s v="2,5-3,5 Ghz"/>
    <s v="Win10"/>
    <x v="244"/>
    <s v="Pendrive"/>
    <m/>
    <s v="X7851"/>
    <s v="P670RS"/>
    <s v="Clevo"/>
    <x v="0"/>
    <m/>
    <n v="3"/>
    <s v="GTX 1060 6 GB"/>
  </r>
  <r>
    <x v="560"/>
    <s v="-"/>
    <n v="30025239"/>
    <s v="-"/>
    <s v="czarny gumowany"/>
    <s v="Matowy 1080p"/>
    <s v="128 GB SSD; 1 TB HDD"/>
    <s v="16 GB"/>
    <s v="i7-7700HQ"/>
    <s v="2,8-3,8 Ghz"/>
    <s v="Win10"/>
    <x v="243"/>
    <s v="Pendrive"/>
    <m/>
    <s v="X7851"/>
    <s v="P670RS"/>
    <s v="Clevo"/>
    <x v="0"/>
    <m/>
    <n v="3"/>
    <s v="GTX 1060 6 GB"/>
  </r>
  <r>
    <x v="561"/>
    <s v="-"/>
    <n v="30025082"/>
    <s v="-"/>
    <s v="Czarny, gumowany"/>
    <s v="Matowy 1080p"/>
    <s v="128 GB SSD; 1 TB HDD"/>
    <s v="8 GB"/>
    <s v="i7-6700HQ"/>
    <s v="2,7-3,0 Ghz"/>
    <s v="Win 10"/>
    <x v="239"/>
    <s v="Pendrive"/>
    <s v="BIOS: Najpierw odpalić Wmset, Potem z konsoli amin. Flashmewinx64."/>
    <s v="x7841"/>
    <s v="P670 RE1-M"/>
    <s v="Clevo"/>
    <x v="0"/>
    <s v="-"/>
    <n v="3"/>
    <s v="GTX 970M 3GB"/>
  </r>
  <r>
    <x v="562"/>
    <s v="-"/>
    <n v="30025247"/>
    <s v="-"/>
    <s v="czarny gumowany"/>
    <s v="Matowy 1080p"/>
    <s v="256 GB SSD; 1,5 TB HDD"/>
    <s v="8 GB"/>
    <s v="i5-8250U"/>
    <s v="1,6-3,4 Ghz"/>
    <s v="Win 10"/>
    <x v="242"/>
    <s v="Pendrive"/>
    <s v="-"/>
    <s v="P7651"/>
    <s v="D17KxR"/>
    <s v="Pegatron"/>
    <x v="1"/>
    <m/>
    <n v="3"/>
    <s v="GTX 1050 4 GB"/>
  </r>
  <r>
    <x v="563"/>
    <s v="-"/>
    <n v="3002863"/>
    <s v="-"/>
    <s v="Srebrny"/>
    <s v="Dotykowy 1080P"/>
    <s v="64 GB eMMC;"/>
    <s v="2 GB"/>
    <s v="Atom x5-Z8350"/>
    <s v="1,44 - 1,92 Ghz"/>
    <s v="Win 10"/>
    <x v="245"/>
    <s v="Pendrive"/>
    <s v="-"/>
    <s v="E1239T"/>
    <s v="3165 3ND"/>
    <s v="Wingman"/>
    <x v="0"/>
    <m/>
    <n v="2"/>
    <m/>
  </r>
  <r>
    <x v="564"/>
    <s v="-"/>
    <n v="30025108"/>
    <s v="-"/>
    <s v="czarny gumowany"/>
    <s v="Matowy 1080p"/>
    <s v="256 GB SSD;"/>
    <s v="8 GB"/>
    <s v="i5-6200U"/>
    <s v="2,3-2,8 Ghz"/>
    <s v="Win 10"/>
    <x v="20"/>
    <s v="Pendrive"/>
    <s v="-"/>
    <s v="P7643"/>
    <s v="D17S"/>
    <s v="Pegatron"/>
    <x v="1"/>
    <m/>
    <n v="3"/>
    <s v="GTX 950M 4 GB"/>
  </r>
  <r>
    <x v="565"/>
    <s v="-"/>
    <n v="30025246"/>
    <s v="-"/>
    <s v="czarny gumowany"/>
    <s v="Matowy 1080p"/>
    <s v="128 GB SSD; 1 TB HDD"/>
    <s v="8 GB"/>
    <s v="i5-7200U"/>
    <s v="2,5-3,1 Ghz"/>
    <s v="Win 10"/>
    <x v="246"/>
    <s v="Pendrive"/>
    <s v="tp firmware, sponge / poron"/>
    <s v="P6679"/>
    <s v="D15K"/>
    <s v="Pegatron"/>
    <x v="1"/>
    <m/>
    <n v="3"/>
    <s v="GTX 950M 4 GB"/>
  </r>
  <r>
    <x v="566"/>
    <s v="-"/>
    <n v="30025249"/>
    <s v="-"/>
    <s v="Srebrny"/>
    <s v="Matowy 1080p"/>
    <s v="64 GB eMMc;"/>
    <s v="4 GB"/>
    <s v="Atom x5-Z8350"/>
    <s v="1,44 - 1,92 Ghz"/>
    <s v="Win 10"/>
    <x v="247"/>
    <s v="Pendrive"/>
    <s v="Nowe zasilacze!"/>
    <s v="E4242"/>
    <s v="N14H"/>
    <s v="Emdoor"/>
    <x v="0"/>
    <m/>
    <s v="X"/>
    <m/>
  </r>
  <r>
    <x v="567"/>
    <s v="-"/>
    <n v="30025117"/>
    <s v="-"/>
    <s v="Czarny"/>
    <s v="Matowy 1080p"/>
    <s v="64 GB eMMc;"/>
    <s v="4 GB"/>
    <s v="Celeron N3060"/>
    <s v="1,6-2,48 Ghz"/>
    <s v="Win 10"/>
    <x v="68"/>
    <s v="Pendrive"/>
    <m/>
    <s v="S4219"/>
    <s v="NSBW1402"/>
    <s v="Tongfang"/>
    <x v="0"/>
    <m/>
    <n v="4"/>
    <m/>
  </r>
  <r>
    <x v="568"/>
    <s v="-"/>
    <n v="30025127"/>
    <s v="-"/>
    <s v="Srebrny"/>
    <s v="Matowy 720p"/>
    <s v="; 1,5 TB"/>
    <s v="8 GB"/>
    <s v="Pentium 4415U"/>
    <m/>
    <s v="Win 10"/>
    <x v="226"/>
    <s v="Pendrive"/>
    <s v="tp firmware"/>
    <s v="E6435"/>
    <s v="E15K"/>
    <s v="Pegatron"/>
    <x v="0"/>
    <m/>
    <n v="3"/>
    <m/>
  </r>
  <r>
    <x v="569"/>
    <s v="-"/>
    <n v="30025241"/>
    <s v="-"/>
    <s v="Czarny"/>
    <s v="Dotykowy 1080P"/>
    <s v="64 GB eMMc;"/>
    <s v="4 GB"/>
    <s v="Atom x5-Z8350"/>
    <s v="1,44-1,92 Ghz"/>
    <s v="Win 10"/>
    <x v="212"/>
    <s v="Pendrive"/>
    <s v="Update biosu, do najwyższego Build Date."/>
    <s v="E2225T"/>
    <s v="NT16H"/>
    <s v="Emdoor"/>
    <x v="0"/>
    <m/>
    <n v="2"/>
    <m/>
  </r>
  <r>
    <x v="570"/>
    <s v="-"/>
    <n v="30025232"/>
    <s v="-"/>
    <s v="Czarny"/>
    <s v="Matowy 1080p"/>
    <s v="256 GB SSD; 1 TB HDD"/>
    <s v="16 GB"/>
    <s v="i7-6700HQ"/>
    <s v="2,6-3,5 Ghz"/>
    <s v="Win 10"/>
    <x v="38"/>
    <s v="Pendrive"/>
    <m/>
    <s v="X6601"/>
    <s v="N155RD1-M"/>
    <s v="Clevo"/>
    <x v="0"/>
    <m/>
    <n v="3"/>
    <s v="GTX 960M 2 GB"/>
  </r>
  <r>
    <x v="571"/>
    <s v="-"/>
    <s v="30025250;30025458"/>
    <s v="-"/>
    <s v="srebrny;złoty"/>
    <s v="Dotykowy 1080P"/>
    <s v="64 GB eMMc;"/>
    <s v="4 GB"/>
    <s v="Atom x5-Z8350"/>
    <s v="1,44-1,92 Ghz"/>
    <s v="Win 10"/>
    <x v="63"/>
    <s v="Pendrive"/>
    <s v="Magnesy w TOP CASE! Update biosu, do najwyższego Build Date."/>
    <s v="E2228T"/>
    <s v="NT16H"/>
    <s v="Emdoor"/>
    <x v="0"/>
    <m/>
    <n v="2"/>
    <m/>
  </r>
  <r>
    <x v="572"/>
    <s v="-"/>
    <n v="30024893"/>
    <s v="-"/>
    <s v="Srebrny"/>
    <s v="Matowy 1080p"/>
    <s v="64 GB eMMc;"/>
    <s v="4 GB"/>
    <s v="Celeron N3160"/>
    <s v="1,6-2,24 Ghz"/>
    <s v="Win 10"/>
    <x v="248"/>
    <s v="Pendrive"/>
    <s v="EC"/>
    <s v="S4219"/>
    <s v="NSBW1402"/>
    <s v="Tongfang"/>
    <x v="0"/>
    <m/>
    <n v="4"/>
    <m/>
  </r>
  <r>
    <x v="573"/>
    <s v="-"/>
    <n v="30025086"/>
    <s v="-"/>
    <s v="Czarny"/>
    <s v="Matowy 1080p"/>
    <s v="256 GB SSD; 1 TB HDD"/>
    <s v="8 GB"/>
    <s v="i7-6700HQ"/>
    <s v="2,6-3,5 Ghz"/>
    <s v="Win 10"/>
    <x v="38"/>
    <s v="Pendrive"/>
    <m/>
    <s v="X6601"/>
    <s v="N155RD1-M"/>
    <s v="Clevo"/>
    <x v="0"/>
    <m/>
    <n v="3"/>
    <s v="GTX 960M 2 GB"/>
  </r>
  <r>
    <x v="574"/>
    <s v="-"/>
    <n v="30025231"/>
    <s v="-"/>
    <s v="czarny gumowany"/>
    <s v="Matowy 1080p"/>
    <s v="128 GB SSD;  1 TB HDD ;500 GB HDD"/>
    <s v="8 GB"/>
    <s v="i7-6700HQ"/>
    <s v="2,6-3,5 Ghz"/>
    <s v="Win 10"/>
    <x v="214"/>
    <s v="Pendrive"/>
    <s v="Recovery po wgraniu image/ EC/ włączyć kamerę Fn + F10"/>
    <s v="X7842"/>
    <s v="P670RE1M"/>
    <s v="Clevo"/>
    <x v="0"/>
    <m/>
    <n v="3"/>
    <s v="GTX 970M 3 GB"/>
  </r>
  <r>
    <x v="575"/>
    <s v="-"/>
    <n v="30024878"/>
    <s v="-"/>
    <s v="Srebrny"/>
    <s v="Matowy 1080p"/>
    <s v="256 GB SSD;"/>
    <s v="4 GB"/>
    <s v="i5-7200U"/>
    <s v="2,5-3,1 Ghz"/>
    <s v="Win 10"/>
    <x v="35"/>
    <s v="Pendrive"/>
    <m/>
    <s v="S3409"/>
    <s v="F13K"/>
    <s v="Pegatron"/>
    <x v="1"/>
    <m/>
    <n v="3"/>
    <m/>
  </r>
  <r>
    <x v="576"/>
    <s v="-"/>
    <n v="30025068"/>
    <s v="-"/>
    <s v="Srebrny"/>
    <s v="Matowy 1080p"/>
    <s v="64 GB eMMc;"/>
    <s v="2 GB"/>
    <s v="Atom Z3735F"/>
    <s v="1,33-1,83 Ghz"/>
    <s v="Win 10"/>
    <x v="15"/>
    <s v="Pendrive"/>
    <s v="Bateria bios"/>
    <s v="S2217"/>
    <s v="EF20"/>
    <s v="ECS"/>
    <x v="0"/>
    <m/>
    <s v="bez"/>
    <m/>
  </r>
  <r>
    <x v="577"/>
    <s v="-"/>
    <n v="30025122"/>
    <s v="-"/>
    <s v="Czarny"/>
    <s v="Dotykowy 1080P"/>
    <s v="256 GB SSD;"/>
    <s v="8 GB"/>
    <s v="i5-7Y54"/>
    <s v="1,2-3,2 Ghz"/>
    <s v="Win 10"/>
    <x v="249"/>
    <s v="Pendrive"/>
    <s v="Obudowę trzymają magnesy, zaczynając dużą kostką od dołu można otworzyć jednostkę. Image spod usb C pomaga w razie problemów."/>
    <s v="P3403"/>
    <s v="S125K"/>
    <s v="Emdoor"/>
    <x v="1"/>
    <m/>
    <n v="4"/>
    <m/>
  </r>
  <r>
    <x v="578"/>
    <s v="-"/>
    <n v="30025119"/>
    <s v="-"/>
    <s v="Biały"/>
    <s v="Dotykowy 1080P"/>
    <s v="64 GB eMMc;"/>
    <s v="4 GB"/>
    <s v="Celeron N3350"/>
    <s v="1,1-2,4 Ghz"/>
    <s v="Win 10"/>
    <x v="232"/>
    <s v="Pendrive"/>
    <s v="EC"/>
    <s v="E3213"/>
    <s v="NT13A"/>
    <s v="Emdoor"/>
    <x v="1"/>
    <m/>
    <s v="bez"/>
    <m/>
  </r>
  <r>
    <x v="579"/>
    <s v="-"/>
    <n v="30024648"/>
    <s v="-"/>
    <s v="Biały"/>
    <s v="Matowy 1080p"/>
    <s v="64 GB eMMc;"/>
    <s v="2 GB"/>
    <s v="Atom Z3735F"/>
    <s v="1,33-1,83 Ghz"/>
    <s v="Win 10"/>
    <x v="250"/>
    <s v="Pendrive"/>
    <s v="Bateria BIOS"/>
    <s v="S2217"/>
    <s v="EF20"/>
    <s v="ECS"/>
    <x v="0"/>
    <m/>
    <s v="bez"/>
    <m/>
  </r>
  <r>
    <x v="580"/>
    <s v="-"/>
    <n v="30025242"/>
    <s v="-"/>
    <s v="Srebrny"/>
    <s v="Matowy 1080p"/>
    <s v="128 GB SSD; 1 TB HDD"/>
    <s v="8 GB"/>
    <s v="i5-8250U"/>
    <s v="1,6-3,4 Ghz"/>
    <s v="Win 10"/>
    <x v="251"/>
    <s v="Pendrive"/>
    <m/>
    <s v="P6687"/>
    <s v="F15KxR"/>
    <s v="Pegatron"/>
    <x v="1"/>
    <m/>
    <n v="3"/>
    <s v="MX150 2GB"/>
  </r>
  <r>
    <x v="581"/>
    <s v="-"/>
    <n v="30025245"/>
    <s v="-"/>
    <s v="czarny gumowany"/>
    <s v="Matowy 1080p"/>
    <s v="128 GB SSD; 1 TB HDD"/>
    <s v="8 GB"/>
    <s v="i5-8250U"/>
    <s v="1,6-3,4 Ghz"/>
    <s v="Win 10"/>
    <x v="242"/>
    <s v="Pendrive"/>
    <s v="-"/>
    <s v="P7651"/>
    <s v="D17KxR"/>
    <s v="Pegatron"/>
    <x v="1"/>
    <m/>
    <n v="3"/>
    <s v="GTX 1050 4 GB"/>
  </r>
  <r>
    <x v="582"/>
    <s v="-"/>
    <n v="30025237"/>
    <s v="-"/>
    <s v="czarny gumowany"/>
    <s v="Matowy 1080p"/>
    <s v="256 GB SSD; 1 TB HDD"/>
    <s v="16 GB"/>
    <s v="i5-7200U"/>
    <s v="2,5 Ghz"/>
    <s v="Win 10"/>
    <x v="227"/>
    <s v="Pendrive"/>
    <s v="-"/>
    <s v="P6681"/>
    <s v="E15KR"/>
    <s v="Pegatron"/>
    <x v="0"/>
    <m/>
    <n v="3"/>
    <s v="GTX 1050 4 GB"/>
  </r>
  <r>
    <x v="583"/>
    <s v="-"/>
    <n v="30025230"/>
    <s v="-"/>
    <s v="Brązowy"/>
    <s v="Matowy 720p"/>
    <s v="; 1 TB HDD"/>
    <s v="6 GB"/>
    <s v="i5-4210M"/>
    <s v="2,6 Ghz"/>
    <s v="Win 10"/>
    <x v="252"/>
    <s v="Pendrive"/>
    <s v="-"/>
    <s v="P7632"/>
    <s v="C17B"/>
    <s v="Pegatron"/>
    <x v="0"/>
    <m/>
    <n v="3"/>
    <s v="825 M"/>
  </r>
  <r>
    <x v="584"/>
    <s v="-"/>
    <n v="30025080"/>
    <s v="-"/>
    <s v="czarny gumowany"/>
    <s v="Matowy 1080p"/>
    <s v="256 GB SSD;  1 TB HDD"/>
    <s v="16 GB"/>
    <s v="i7-6700HQ"/>
    <s v="2,6-3,5 Ghz"/>
    <s v="Win 10"/>
    <x v="253"/>
    <s v="Pendrive"/>
    <s v="Sterownik bluetooth wgrać ręcznie, plik w folderze Z:\refurbish     /EC/ włączyć kamerę Fn + F10"/>
    <s v="X7843"/>
    <s v="P670RE1-M"/>
    <s v="Clevo"/>
    <x v="0"/>
    <m/>
    <n v="3"/>
    <s v="GTX 980M 4 GB"/>
  </r>
  <r>
    <x v="585"/>
    <s v="-"/>
    <n v="30024895"/>
    <s v="-"/>
    <s v="Biały"/>
    <s v="Matowy 1080p"/>
    <s v="32 GB eMMc;"/>
    <s v="2 GB"/>
    <s v="Celeron N2840"/>
    <m/>
    <s v="Win 10"/>
    <x v="254"/>
    <s v="Pendrive"/>
    <s v="EC"/>
    <s v="E4213"/>
    <s v="NDBT1401"/>
    <s v="Tongfang"/>
    <x v="0"/>
    <m/>
    <n v="3"/>
    <m/>
  </r>
  <r>
    <x v="586"/>
    <s v="-"/>
    <n v="30025129"/>
    <s v="-"/>
    <s v="Srebrny"/>
    <s v="Matowy 1080p"/>
    <s v="64 GB eMMc;"/>
    <s v="2 GB"/>
    <s v="Atom x5-8350"/>
    <s v="1,44-1,92 Ghz"/>
    <s v="Win 10"/>
    <x v="255"/>
    <s v="Pendrive"/>
    <s v="Nowe zasilacze!"/>
    <s v="E4241"/>
    <s v="N14H"/>
    <s v="Emdoor"/>
    <x v="0"/>
    <m/>
    <n v="2"/>
    <m/>
  </r>
  <r>
    <x v="587"/>
    <s v="-"/>
    <n v="30024896"/>
    <s v="-"/>
    <s v="Srebrny"/>
    <s v="Matowy 720p"/>
    <s v="; 500 GB HDD"/>
    <s v="4 GB"/>
    <s v="Celeron N2840"/>
    <s v="2,16-2,58 Ghz"/>
    <s v="Win 10"/>
    <x v="256"/>
    <s v="Pendrive"/>
    <s v="DPK wgrywać nowy klucz WIN 10"/>
    <s v="E6239"/>
    <s v="C15M"/>
    <s v="Pegatron"/>
    <x v="0"/>
    <m/>
    <n v="3"/>
    <m/>
  </r>
  <r>
    <x v="588"/>
    <s v="-"/>
    <n v="30025118"/>
    <s v="-"/>
    <s v="Srebrny"/>
    <s v="Dotykowy 720p"/>
    <s v="64 GB eMMc;"/>
    <s v="2 GB"/>
    <s v="Atom x5-Z8350"/>
    <s v="1,44-1,92 Ghz"/>
    <s v="Win 10"/>
    <x v="212"/>
    <s v="Pendrive"/>
    <s v="Jeśli jest problem z wgraniem img użyć USB 2.0"/>
    <s v="E2225T"/>
    <s v="NT16H"/>
    <s v="Emdoor"/>
    <x v="0"/>
    <m/>
    <n v="2"/>
    <m/>
  </r>
  <r>
    <x v="589"/>
    <s v="-"/>
    <n v="30025234"/>
    <s v="-"/>
    <s v="Czarny"/>
    <s v="Dotykowy 1080P"/>
    <s v="128 GB SSD;"/>
    <s v="4 GB"/>
    <s v="m3-6Y30"/>
    <s v="0,9-2,2 Ghz"/>
    <s v="Win 10"/>
    <x v="64"/>
    <s v="Pendrive"/>
    <m/>
    <s v="P3401"/>
    <s v="3ND"/>
    <s v="Wingman"/>
    <x v="0"/>
    <m/>
    <n v="4"/>
    <m/>
  </r>
  <r>
    <x v="590"/>
    <s v="-"/>
    <n v="30024894"/>
    <s v="-"/>
    <s v="Srebrny"/>
    <s v="Matowy 1080p"/>
    <s v="64 GB eMMc;"/>
    <s v="2 GB"/>
    <s v="Atom Z3735F"/>
    <s v="1,33-1,83 Ghz"/>
    <s v="Win 10"/>
    <x v="15"/>
    <s v="Pendrive"/>
    <m/>
    <s v="S2217"/>
    <s v="EF20"/>
    <s v="ECS"/>
    <x v="0"/>
    <m/>
    <s v="bez"/>
    <m/>
  </r>
  <r>
    <x v="591"/>
    <m/>
    <m/>
    <m/>
    <m/>
    <m/>
    <m/>
    <m/>
    <m/>
    <m/>
    <m/>
    <x v="257"/>
    <m/>
    <m/>
    <m/>
    <m/>
    <m/>
    <x v="2"/>
    <m/>
    <m/>
    <m/>
  </r>
  <r>
    <x v="591"/>
    <m/>
    <m/>
    <m/>
    <m/>
    <m/>
    <m/>
    <m/>
    <m/>
    <m/>
    <m/>
    <x v="257"/>
    <m/>
    <m/>
    <m/>
    <m/>
    <m/>
    <x v="2"/>
    <m/>
    <m/>
    <m/>
  </r>
  <r>
    <x v="591"/>
    <m/>
    <m/>
    <m/>
    <m/>
    <m/>
    <m/>
    <m/>
    <m/>
    <m/>
    <m/>
    <x v="257"/>
    <m/>
    <m/>
    <m/>
    <m/>
    <m/>
    <x v="2"/>
    <m/>
    <m/>
    <m/>
  </r>
  <r>
    <x v="591"/>
    <m/>
    <m/>
    <m/>
    <m/>
    <m/>
    <m/>
    <m/>
    <m/>
    <m/>
    <m/>
    <x v="257"/>
    <m/>
    <m/>
    <m/>
    <m/>
    <m/>
    <x v="2"/>
    <m/>
    <m/>
    <m/>
  </r>
  <r>
    <x v="591"/>
    <m/>
    <m/>
    <m/>
    <m/>
    <m/>
    <m/>
    <m/>
    <m/>
    <m/>
    <m/>
    <x v="257"/>
    <m/>
    <m/>
    <m/>
    <m/>
    <m/>
    <x v="2"/>
    <m/>
    <m/>
    <m/>
  </r>
  <r>
    <x v="591"/>
    <m/>
    <m/>
    <m/>
    <m/>
    <m/>
    <m/>
    <m/>
    <m/>
    <m/>
    <m/>
    <x v="257"/>
    <m/>
    <m/>
    <m/>
    <m/>
    <m/>
    <x v="2"/>
    <m/>
    <m/>
    <m/>
  </r>
  <r>
    <x v="591"/>
    <m/>
    <m/>
    <m/>
    <m/>
    <m/>
    <m/>
    <m/>
    <m/>
    <m/>
    <m/>
    <x v="257"/>
    <m/>
    <m/>
    <m/>
    <m/>
    <m/>
    <x v="2"/>
    <m/>
    <m/>
    <m/>
  </r>
  <r>
    <x v="591"/>
    <m/>
    <m/>
    <m/>
    <m/>
    <m/>
    <m/>
    <m/>
    <m/>
    <m/>
    <m/>
    <x v="257"/>
    <m/>
    <m/>
    <m/>
    <m/>
    <m/>
    <x v="2"/>
    <m/>
    <m/>
    <m/>
  </r>
  <r>
    <x v="591"/>
    <m/>
    <m/>
    <m/>
    <m/>
    <m/>
    <m/>
    <m/>
    <m/>
    <m/>
    <m/>
    <x v="257"/>
    <m/>
    <m/>
    <m/>
    <m/>
    <m/>
    <x v="2"/>
    <m/>
    <m/>
    <m/>
  </r>
  <r>
    <x v="591"/>
    <m/>
    <m/>
    <m/>
    <m/>
    <m/>
    <m/>
    <m/>
    <m/>
    <m/>
    <m/>
    <x v="257"/>
    <m/>
    <m/>
    <m/>
    <m/>
    <m/>
    <x v="2"/>
    <m/>
    <m/>
    <m/>
  </r>
  <r>
    <x v="591"/>
    <m/>
    <m/>
    <m/>
    <m/>
    <m/>
    <m/>
    <m/>
    <m/>
    <m/>
    <m/>
    <x v="257"/>
    <m/>
    <m/>
    <m/>
    <m/>
    <m/>
    <x v="2"/>
    <m/>
    <m/>
    <m/>
  </r>
  <r>
    <x v="591"/>
    <m/>
    <m/>
    <m/>
    <m/>
    <m/>
    <m/>
    <m/>
    <m/>
    <m/>
    <m/>
    <x v="257"/>
    <m/>
    <m/>
    <m/>
    <m/>
    <m/>
    <x v="2"/>
    <m/>
    <m/>
    <m/>
  </r>
  <r>
    <x v="591"/>
    <m/>
    <m/>
    <m/>
    <m/>
    <m/>
    <m/>
    <m/>
    <m/>
    <m/>
    <m/>
    <x v="257"/>
    <m/>
    <m/>
    <m/>
    <m/>
    <m/>
    <x v="2"/>
    <m/>
    <m/>
    <m/>
  </r>
  <r>
    <x v="591"/>
    <m/>
    <m/>
    <m/>
    <m/>
    <m/>
    <m/>
    <m/>
    <m/>
    <m/>
    <m/>
    <x v="257"/>
    <m/>
    <m/>
    <m/>
    <m/>
    <m/>
    <x v="2"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609">
  <r>
    <x v="0"/>
    <s v="-"/>
    <n v="30022222"/>
    <s v="-"/>
    <s v="-"/>
    <s v="Matowy"/>
    <s v="16 GB eMMc;"/>
    <s v="2 GB"/>
    <s v="Rockchip RK3288 Quad-Core Cortex-A17 "/>
    <s v="1,80 GHz"/>
    <s v="Google Chrome OS"/>
    <x v="0"/>
    <s v="Przywracamy oryginalny"/>
    <s v="Przywracamy oryginalny"/>
    <s v="S2015"/>
    <s v="HR-116E"/>
    <s v="Hai"/>
    <s v="Nie"/>
    <n v="40056750"/>
    <s v="chromebook"/>
    <m/>
  </r>
  <r>
    <x v="1"/>
    <s v="-"/>
    <n v="30022008"/>
    <s v="-"/>
    <s v="-"/>
    <s v="Matowy"/>
    <s v="256 GB SSD; 1 TB HDD"/>
    <s v="16 GB"/>
    <s v="i7-6500U"/>
    <s v="2,5-3,1 Ghz"/>
    <s v="Win 10"/>
    <x v="1"/>
    <s v="Pendrive"/>
    <s v="Shipping mode"/>
    <s v="P7643"/>
    <s v="D17S"/>
    <s v="Pegatron"/>
    <s v="Tak"/>
    <s v="-"/>
    <n v="3"/>
    <m/>
  </r>
  <r>
    <x v="2"/>
    <s v="PMM C1010-I01B3"/>
    <n v="30023094"/>
    <n v="30020624"/>
    <s v="-"/>
    <s v="Touch / NON GLARE"/>
    <s v="64 GB eMMC;"/>
    <s v="2 GB"/>
    <s v="Atom Z3735F"/>
    <s v="1,33-1,83 Ghz"/>
    <s v="Win 10"/>
    <x v="2"/>
    <s v="Pendrive"/>
    <s v="KB - BE /  zamiast recovery re"/>
    <s v="P1211T"/>
    <s v="WMBT1031"/>
    <s v="Tongfang"/>
    <s v="Nie"/>
    <s v="-"/>
    <s v="-"/>
    <m/>
  </r>
  <r>
    <x v="3"/>
    <s v="-"/>
    <n v="30024271"/>
    <s v="-"/>
    <s v="Grafitowy"/>
    <s v="Matowy"/>
    <s v="128 GB SSD; 1 TB HDD"/>
    <s v="8 GB"/>
    <s v="i7-6500U"/>
    <s v="2,5-3,1 Ghz"/>
    <s v="Win 10"/>
    <x v="3"/>
    <s v="Pendrive"/>
    <s v="-"/>
    <s v="P7641"/>
    <s v="D17S"/>
    <s v="Pegatron"/>
    <s v="Tak"/>
    <n v="40057143"/>
    <n v="3"/>
    <m/>
  </r>
  <r>
    <x v="4"/>
    <s v="PNB S1415-I2N1S"/>
    <n v="30023087"/>
    <n v="30020559"/>
    <s v="-"/>
    <s v="NON GLARE"/>
    <s v="64 GB eMMC; 500 GB HDD"/>
    <s v="4 GB"/>
    <s v="Pentium N3700"/>
    <s v="1,6-2,4 Ghz"/>
    <s v="Win 10"/>
    <x v="4"/>
    <s v="Pendrive"/>
    <s v="KB - NL"/>
    <s v="S6219"/>
    <s v="NSBW1x02"/>
    <s v="Tongfang"/>
    <s v="Nie"/>
    <s v="-"/>
    <s v="-"/>
    <m/>
  </r>
  <r>
    <x v="5"/>
    <s v=" PNB C2015-I2N1"/>
    <n v="30023742"/>
    <n v="30020660"/>
    <s v="-"/>
    <s v="Matowy"/>
    <s v="128 GB SSD; 1,5 TB HDD"/>
    <s v="6 GB"/>
    <s v="Pentium 4405U"/>
    <s v="2,10 GHz"/>
    <s v="Win 10"/>
    <x v="5"/>
    <s v="Pendrive"/>
    <s v="Nagrywać spod SWM 20062496; KB - NL"/>
    <s v="E6425"/>
    <s v="Polo 2"/>
    <s v="ECS"/>
    <s v="Nie"/>
    <s v="-"/>
    <s v="-"/>
    <m/>
  </r>
  <r>
    <x v="6"/>
    <s v="PNB C2015-I5N1"/>
    <n v="30023088"/>
    <n v="30020661"/>
    <s v="-"/>
    <s v="NON GLARE"/>
    <s v="128 GB SSD; 1 TB HDD"/>
    <s v="6 GB"/>
    <s v="i5-6200U"/>
    <s v="2,3-2,8 GHz"/>
    <s v="Win 10"/>
    <x v="6"/>
    <s v="Pendrive"/>
    <s v="wgrywać przez  2.0 - KB - NL "/>
    <s v="E6425"/>
    <s v="Polo 2"/>
    <s v="ECS"/>
    <s v="Nie"/>
    <s v="-"/>
    <s v="-"/>
    <m/>
  </r>
  <r>
    <x v="7"/>
    <s v="PNB P2015-I5N1"/>
    <n v="30023089"/>
    <n v="30020662"/>
    <s v="-"/>
    <s v="NON GLARE"/>
    <s v="128 GB SSD; 1 TB HDD"/>
    <s v="12 GB"/>
    <s v="i5-6200U"/>
    <s v="2,3-2,8 GHz"/>
    <s v="Win 10"/>
    <x v="7"/>
    <s v="Pendrive"/>
    <s v="KB - NL"/>
    <s v="P6663"/>
    <s v="Polo 2"/>
    <s v="ECS"/>
    <s v="Nie"/>
    <s v="-"/>
    <s v="-"/>
    <m/>
  </r>
  <r>
    <x v="8"/>
    <s v="PNB P2015-I7N1"/>
    <n v="30023203"/>
    <n v="30020663"/>
    <s v="-"/>
    <s v="NON GLARE"/>
    <s v="256 GB SSD; 1,5 TB HDD "/>
    <s v="12 GB"/>
    <s v="i7-6500U"/>
    <s v="2,5-3,1 Ghz"/>
    <s v="Win 10"/>
    <x v="7"/>
    <s v="Pendrive"/>
    <s v="KB - NL"/>
    <s v="P6663 "/>
    <s v="Polo 2"/>
    <s v="ECS"/>
    <s v="Nie"/>
    <s v="-"/>
    <s v="-"/>
    <m/>
  </r>
  <r>
    <x v="9"/>
    <s v="PNB G2015-I5N1"/>
    <n v="30024272"/>
    <n v="30020665"/>
    <s v="-"/>
    <s v="Matowy"/>
    <s v="256 GB SSD; 1 TB HDD"/>
    <s v="12 GB"/>
    <s v="i5-6200U"/>
    <s v="2,3-2,8 GHz"/>
    <s v="Win 10"/>
    <x v="5"/>
    <s v="Pendrive"/>
    <s v="Nagrywać spod SWM 20062496;NL, śróbka pod żółtą naklejką"/>
    <s v="P6665"/>
    <s v="Polo 2"/>
    <s v="ECS"/>
    <s v="Nie"/>
    <s v="-"/>
    <s v="-"/>
    <m/>
  </r>
  <r>
    <x v="10"/>
    <s v="-"/>
    <n v="30022962"/>
    <s v="-"/>
    <s v="-"/>
    <s v="Matowy"/>
    <s v=";1 TB HDD"/>
    <s v="8 GB"/>
    <s v="Pentium 4405U"/>
    <s v="2,10 GHz"/>
    <s v="Win 10"/>
    <x v="8"/>
    <s v="Pendrive"/>
    <s v="Shipping mode"/>
    <s v="E7419"/>
    <s v="D17S"/>
    <s v="Pegatron"/>
    <s v="Tak"/>
    <s v="-"/>
    <n v="3"/>
    <m/>
  </r>
  <r>
    <x v="11"/>
    <s v="-"/>
    <n v="30023164"/>
    <s v="-"/>
    <s v="-"/>
    <s v="Matowy"/>
    <s v=";500 GB HDD"/>
    <s v="4 GB"/>
    <s v="Pentium N3700"/>
    <s v="1,6-2,4 Ghz"/>
    <s v="Win 10"/>
    <x v="9"/>
    <s v="Pendrive"/>
    <s v="Nowe MB magą się nie włączać dopóki nie poklika się kila razy we włącznik."/>
    <s v="S6219"/>
    <s v="NSBW1x02"/>
    <s v="Tongfang"/>
    <s v="Nie"/>
    <s v="-"/>
    <n v="4"/>
    <m/>
  </r>
  <r>
    <x v="12"/>
    <s v="-"/>
    <n v="30022773"/>
    <s v="-"/>
    <s v="-"/>
    <s v="Matowy"/>
    <s v=";500 GB HDD"/>
    <s v="2 GB"/>
    <s v="Pentium N3700"/>
    <s v="1,6-2,4 Ghz"/>
    <s v="Win 10"/>
    <x v="10"/>
    <s v="Pendrive"/>
    <s v="Nowe MB magą się nie włączać dopóki nie poklika się kila razy we włącznik."/>
    <s v="S4220"/>
    <s v="NSBW1x02"/>
    <s v="Tongfang"/>
    <s v="Nie"/>
    <s v="-"/>
    <n v="4"/>
    <m/>
  </r>
  <r>
    <x v="13"/>
    <s v="-"/>
    <n v="30022774"/>
    <s v="-"/>
    <s v="-"/>
    <s v="Touch / NON GLARE"/>
    <s v="64 GB eMMC;"/>
    <s v="2 GB"/>
    <s v="Atom X5-Z8350"/>
    <s v="1,44 - 1,92 Ghz"/>
    <s v="Win 10"/>
    <x v="11"/>
    <s v="Pendrive"/>
    <s v="Zamiast Recovery robimy RE-!!!"/>
    <s v="E1239T"/>
    <s v="3165 3ND "/>
    <s v="Wingman"/>
    <s v="Nie"/>
    <n v="40058940"/>
    <n v="2"/>
    <m/>
  </r>
  <r>
    <x v="14"/>
    <s v="-"/>
    <n v="30022221"/>
    <s v="-"/>
    <s v="-"/>
    <s v="Matowy"/>
    <s v="16 GB eMMc;"/>
    <s v="2 GB"/>
    <s v="Rockchip RK3288 Quad-Core Cortex-A17 "/>
    <s v="1,80 GHz"/>
    <s v="Google Chrome OS"/>
    <x v="0"/>
    <s v="Przywracamy oryginalny"/>
    <s v="Przywracamy oryginalny"/>
    <s v="S2013 "/>
    <s v="HR-116R"/>
    <s v="Hai"/>
    <s v="Nie"/>
    <s v="-"/>
    <s v="chromebook"/>
    <m/>
  </r>
  <r>
    <x v="15"/>
    <s v="-"/>
    <n v="30022649"/>
    <s v="-"/>
    <s v="-"/>
    <s v="Matowy"/>
    <s v="32 GB eMMC;"/>
    <s v="2 GB"/>
    <s v="celeron N3160"/>
    <s v="1,6-2,24 Ghz"/>
    <s v="Win 10"/>
    <x v="12"/>
    <s v="Pendrive"/>
    <s v="Zamiast Recovery robimy RE-!!! Nowe MB magą się nie włączać dopóki nie poklika się kila razy we włącznik."/>
    <s v="S4219"/>
    <s v="NSBW1x02"/>
    <s v="Tongfang"/>
    <s v="Nie"/>
    <s v="-"/>
    <n v="4"/>
    <m/>
  </r>
  <r>
    <x v="16"/>
    <s v="C2010-I02B1"/>
    <n v="30024164"/>
    <n v="30021152"/>
    <s v="-"/>
    <s v="Touch"/>
    <s v="64 GB eMMC;"/>
    <s v="2 GB"/>
    <s v="Atom X5-Z8350"/>
    <s v="1,44 - 1,92 Ghz"/>
    <s v="Win 10"/>
    <x v="13"/>
    <s v="Pendrive"/>
    <s v="BE"/>
    <s v="E1239T"/>
    <s v="3165 3ND"/>
    <s v="Wingman"/>
    <s v="Nie"/>
    <s v="-"/>
    <s v="-"/>
    <m/>
  </r>
  <r>
    <x v="17"/>
    <s v="-"/>
    <n v="30022406"/>
    <s v="-"/>
    <s v="-"/>
    <s v="Matowy"/>
    <s v="256 GB SSD;"/>
    <s v="8 GB"/>
    <s v="i5-6200U"/>
    <s v="2,3-2,8 GHz"/>
    <s v="Win 10"/>
    <x v="14"/>
    <s v="Pendrive"/>
    <s v="Shipping mode"/>
    <s v="P7641"/>
    <s v="D17S"/>
    <s v="Pegatron"/>
    <s v="Tak"/>
    <s v="-"/>
    <n v="3"/>
    <m/>
  </r>
  <r>
    <x v="18"/>
    <s v="-"/>
    <n v="30022898"/>
    <s v="-"/>
    <s v="-"/>
    <s v="Matowy"/>
    <s v="128 GB SSD; 1 TB HDD"/>
    <s v="6 GB"/>
    <s v="i5-6267U"/>
    <s v="2,90 GHz"/>
    <s v="Win 10"/>
    <x v="8"/>
    <s v="Pendrive"/>
    <s v="Shipping mode"/>
    <s v="E7421"/>
    <s v="D17S"/>
    <s v="Pegatron"/>
    <s v="Tak"/>
    <s v="-"/>
    <n v="3"/>
    <m/>
  </r>
  <r>
    <x v="19"/>
    <s v="-"/>
    <n v="30023316"/>
    <s v="-"/>
    <s v="-"/>
    <s v="Matowy"/>
    <s v="128 GB SSD; 1,5 TB HDD"/>
    <s v="6 GB"/>
    <s v="i5-6200U"/>
    <s v="2,3-2,8 GHz"/>
    <s v="Win 10"/>
    <x v="14"/>
    <s v="Pendrive"/>
    <s v="Shipping mode"/>
    <s v="P7641"/>
    <s v="D17S"/>
    <s v="Pegatron"/>
    <s v="Tak"/>
    <s v="-"/>
    <n v="3"/>
    <m/>
  </r>
  <r>
    <x v="20"/>
    <s v="-"/>
    <n v="30022961"/>
    <s v="-"/>
    <s v="-"/>
    <s v="Matowy"/>
    <s v="128 GB SSD; 1,5 TB HDD"/>
    <s v="8 GB"/>
    <s v="i7-6500U"/>
    <s v="2,5-3,1 Ghz"/>
    <s v="Win 10"/>
    <x v="14"/>
    <s v="Pendrive"/>
    <s v="Shipping mode"/>
    <s v="P7641"/>
    <s v="D17S"/>
    <s v="Pegatron"/>
    <s v="Tak"/>
    <s v="-"/>
    <n v="3"/>
    <m/>
  </r>
  <r>
    <x v="21"/>
    <s v="-"/>
    <n v="30023901"/>
    <s v="-"/>
    <s v="Srebrny"/>
    <s v="Matowy"/>
    <s v="32 GB eMMC;"/>
    <s v="2 GB"/>
    <s v="Atom Z3735F"/>
    <s v="1,33-1,83 Ghz"/>
    <s v="Win 10"/>
    <x v="15"/>
    <s v="Pendrive"/>
    <s v="Re"/>
    <s v="S2217"/>
    <s v="EF20"/>
    <s v="ECS"/>
    <s v="Nie"/>
    <s v="-"/>
    <s v="bez"/>
    <m/>
  </r>
  <r>
    <x v="22"/>
    <s v="PMM C1010-I0N2"/>
    <n v="30024309"/>
    <n v="30021119"/>
    <s v="-"/>
    <s v="Touch"/>
    <s v="64 GB eMMC;"/>
    <s v="2 GB"/>
    <s v="Atom Z3735F"/>
    <s v="1,33-1,83 Ghz"/>
    <s v="Win 10"/>
    <x v="16"/>
    <s v="Pendrive"/>
    <s v="BE"/>
    <s v="P1211T"/>
    <s v="WMBT1031"/>
    <s v="Tongfang"/>
    <s v="Nie"/>
    <s v="-"/>
    <s v="-"/>
    <m/>
  </r>
  <r>
    <x v="23"/>
    <s v="-"/>
    <n v="30023092"/>
    <s v="-"/>
    <s v="-"/>
    <s v="Touch / NON GLARE"/>
    <s v="64 GB eMMC;"/>
    <s v="2 GB"/>
    <s v="Atom X5-Z8350"/>
    <s v="1,44 - 1,92 Ghz"/>
    <s v="Win 10"/>
    <x v="17"/>
    <s v="Pendrive"/>
    <s v="Zamiast Recovery robimy RE-!!!"/>
    <s v=" E1240T"/>
    <s v="3165 3ND "/>
    <s v="Wingman"/>
    <s v="Nie"/>
    <s v="-"/>
    <n v="2"/>
    <m/>
  </r>
  <r>
    <x v="24"/>
    <s v="-"/>
    <n v="30022262"/>
    <s v="-"/>
    <s v="-"/>
    <s v="Matowy"/>
    <s v=";500 GB HDD"/>
    <s v="2 GB"/>
    <s v="Celeron N3060"/>
    <s v="1,6-2,48 Ghz"/>
    <s v="Win 10"/>
    <x v="9"/>
    <s v="Pendrive"/>
    <s v="Obowiązkowa instrukcja ME.QA.02.528 /Nowe MB magą się nie włączać dopóki nie poklika się kila razy we włącznik. EC"/>
    <s v="S6219"/>
    <s v="NSBW1x02"/>
    <s v="Tongfang"/>
    <s v="Nie"/>
    <s v="-"/>
    <n v="4"/>
    <m/>
  </r>
  <r>
    <x v="25"/>
    <s v="-"/>
    <n v="30022552"/>
    <s v="-"/>
    <s v="-"/>
    <s v="Matowy"/>
    <s v=";500 GB HDD"/>
    <s v="4 GB"/>
    <s v="Celeron N3060"/>
    <s v="1,6-2,48 Ghz"/>
    <s v="Win 10"/>
    <x v="9"/>
    <s v="Pendrive"/>
    <s v="Obowiązkowa instrukcja ME.QA.02.528 /Nowe MB magą się nie włączać dopóki nie poklika się kila razy we włącznik. EC"/>
    <s v="S6219"/>
    <s v="NSBW1x02"/>
    <s v="Tongfang"/>
    <s v="Nie"/>
    <s v="-"/>
    <n v="4"/>
    <m/>
  </r>
  <r>
    <x v="26"/>
    <s v="-"/>
    <n v="30024273"/>
    <s v="-"/>
    <s v="Srebrny"/>
    <s v="Matowy"/>
    <s v="256 GB SSD;"/>
    <s v="8 GB"/>
    <s v="i5-6200U"/>
    <s v="2,3-2,8 GHz"/>
    <s v="Win 10"/>
    <x v="18"/>
    <s v="Pendrive"/>
    <s v="-"/>
    <s v="E6429"/>
    <s v="E15S"/>
    <s v="Pegatron"/>
    <s v="Nie"/>
    <s v="-"/>
    <n v="3"/>
    <m/>
  </r>
  <r>
    <x v="27"/>
    <s v="-"/>
    <n v="30024433"/>
    <s v="-"/>
    <s v="Srebrny"/>
    <s v="Matowy 720p"/>
    <s v="128 GB SSD; 1 TB HDD"/>
    <s v="8 GB"/>
    <s v="i5-6200U"/>
    <s v="2,3-2,8 GHz"/>
    <s v="Win 10"/>
    <x v="18"/>
    <s v="Pendrive"/>
    <s v="-"/>
    <s v="E6429"/>
    <s v="E15S"/>
    <s v="Pegatron"/>
    <s v="Nie"/>
    <s v="-"/>
    <n v="3"/>
    <m/>
  </r>
  <r>
    <x v="28"/>
    <s v="-"/>
    <n v="30024274"/>
    <s v="-"/>
    <s v="Grafitowy"/>
    <s v="Matowy"/>
    <s v=";1 TB HDD"/>
    <s v="8 GB"/>
    <s v="i5-6200U"/>
    <s v="2,3-2,8 GHz"/>
    <s v="Win 10"/>
    <x v="19"/>
    <s v="Pendrive"/>
    <s v="-"/>
    <s v="P6669"/>
    <s v="E15S"/>
    <s v="Pegatron"/>
    <s v="Nie"/>
    <n v="40056401"/>
    <n v="3"/>
    <m/>
  </r>
  <r>
    <x v="29"/>
    <s v="-"/>
    <n v="30024094"/>
    <s v="-"/>
    <s v="Srebrny"/>
    <s v="Matowy"/>
    <s v="128 GB SSD; 1,5 TB HDD"/>
    <s v="6 GB"/>
    <s v="i5-6267U"/>
    <s v="2,9 Ghz"/>
    <s v="Win 10"/>
    <x v="18"/>
    <s v="Pendrive"/>
    <s v="odczepiona taśma od IO board"/>
    <s v="E6431"/>
    <s v="E15S"/>
    <s v="Pegatron"/>
    <s v="Nie"/>
    <n v="40056401"/>
    <n v="3"/>
    <m/>
  </r>
  <r>
    <x v="30"/>
    <s v="-"/>
    <n v="30024095"/>
    <s v="-"/>
    <s v="Grafitowy"/>
    <s v="Matowy"/>
    <s v="128 GB SSD; 1 TB HDD"/>
    <s v="8 GB"/>
    <s v="i7-6500U"/>
    <s v="2,5-3,1 Ghz"/>
    <s v="Win 10"/>
    <x v="19"/>
    <s v="Pendrive"/>
    <s v="-"/>
    <s v="E6669"/>
    <s v="E15S"/>
    <s v="Pegatron"/>
    <s v="Nie"/>
    <n v="40056401"/>
    <n v="3"/>
    <m/>
  </r>
  <r>
    <x v="31"/>
    <s v="-"/>
    <n v="30024096"/>
    <s v="-"/>
    <s v="Srebrny"/>
    <s v="Matowy"/>
    <s v="128 GB SSD; 1,5 TB HDD"/>
    <s v="8 GB"/>
    <s v="i7-6567U"/>
    <s v="3,3 Ghz"/>
    <s v="Win 10"/>
    <x v="18"/>
    <s v="Pendrive"/>
    <s v="-"/>
    <s v="E6431"/>
    <s v="E15S"/>
    <s v="Pegatron"/>
    <s v="Nie"/>
    <n v="40056401"/>
    <n v="3"/>
    <m/>
  </r>
  <r>
    <x v="32"/>
    <s v="-"/>
    <n v="30022611"/>
    <s v="-"/>
    <s v="Czarny, gumowany"/>
    <s v="Matowy"/>
    <s v=";1 TB HDD"/>
    <s v="8 GB"/>
    <s v="i5-6200U"/>
    <s v="2,3-2,8 GHz"/>
    <s v="Win 10"/>
    <x v="20"/>
    <s v="Pendrive"/>
    <s v="sponge/ poron"/>
    <s v="P6661"/>
    <s v="D15S"/>
    <s v="Pegatron"/>
    <s v="Tak"/>
    <n v="40057143"/>
    <n v="3"/>
    <m/>
  </r>
  <r>
    <x v="33"/>
    <s v="-"/>
    <n v="30024097"/>
    <s v="-"/>
    <s v="Grafitowy"/>
    <s v="Błyszczący"/>
    <s v=";1 TB HDD"/>
    <s v="8 GB"/>
    <s v="i5-6200U"/>
    <s v="2,3-2,8 GHz"/>
    <s v="Win 10"/>
    <x v="21"/>
    <s v="Pendrive"/>
    <s v="sponge/ poron"/>
    <s v="P6667"/>
    <s v="D15S"/>
    <s v="Pegatron"/>
    <s v="Tak"/>
    <n v="40057149"/>
    <n v="3"/>
    <m/>
  </r>
  <r>
    <x v="34"/>
    <s v="-"/>
    <n v="30024341"/>
    <s v="-"/>
    <s v="Srebrny"/>
    <s v="Matowy"/>
    <s v="128 GB SSD; 1 TB HDD"/>
    <s v="8 GB"/>
    <s v="Pentium 4405U"/>
    <s v="2,10 GHz"/>
    <s v="Win 10"/>
    <x v="8"/>
    <s v="Pendrive"/>
    <s v="sponge/ poron"/>
    <s v="E6421"/>
    <s v="D15S"/>
    <s v="Pegatron"/>
    <s v="Tak"/>
    <s v="-"/>
    <n v="3"/>
    <m/>
  </r>
  <r>
    <x v="35"/>
    <s v="-"/>
    <n v="30023902"/>
    <s v="-"/>
    <s v="Grafitowy"/>
    <s v="Matowy"/>
    <s v="128 GB SSD; 1,5 TB HDD"/>
    <s v="8 GB"/>
    <s v="i5-6200U"/>
    <s v="2,3-2,8 GHz"/>
    <s v="-"/>
    <x v="22"/>
    <s v="LIVE Pendrive"/>
    <s v="-"/>
    <s v="P6669"/>
    <s v="E15S"/>
    <s v="Pegatron"/>
    <s v="Nie"/>
    <s v="-"/>
    <n v="3"/>
    <m/>
  </r>
  <r>
    <x v="36"/>
    <s v="-"/>
    <n v="30024098"/>
    <s v="-"/>
    <s v="Grafitowy"/>
    <s v="Błyszczący"/>
    <s v="128 GB SSD; 1 TB HDD"/>
    <s v="6 GB"/>
    <s v="i5-6200U"/>
    <s v="2,3-2,8 GHz"/>
    <s v="Win 10"/>
    <x v="21"/>
    <s v="Pendrive"/>
    <s v="sponge/ poron"/>
    <s v="P6667"/>
    <s v="D15S"/>
    <s v="Pegatron"/>
    <s v="Tak"/>
    <n v="40057149"/>
    <n v="3"/>
    <m/>
  </r>
  <r>
    <x v="37"/>
    <s v="-"/>
    <n v="30024099"/>
    <s v="-"/>
    <s v="Srebrny"/>
    <s v="Matowy 1080p"/>
    <s v="128 GB eMMC; 512 GB HDD"/>
    <s v="4 GB"/>
    <s v="Celeron N3060"/>
    <s v="1,6-2,48 Ghz"/>
    <s v="Win 10"/>
    <x v="23"/>
    <s v="Pendrive"/>
    <s v="Obowiązkowa instrukcja ME.QA.02.528 / EC"/>
    <s v="S6219"/>
    <s v="NSBW1x02"/>
    <s v="Tongfang"/>
    <s v="Nie"/>
    <s v="-"/>
    <n v="4"/>
    <m/>
  </r>
  <r>
    <x v="38"/>
    <s v="PNB C1011-I0B3"/>
    <n v="30023903"/>
    <n v="30021129"/>
    <s v="-"/>
    <s v="Matowy"/>
    <s v="64 GB eMMC;"/>
    <s v="2 GB"/>
    <s v="Atom Z3735F"/>
    <s v="1,33-1,83 Ghz"/>
    <s v="Win 10"/>
    <x v="24"/>
    <s v="Pendrive"/>
    <s v="KB - BE"/>
    <s v="S2217"/>
    <s v="EF20"/>
    <s v="ECS"/>
    <s v="Nie"/>
    <s v="-"/>
    <s v="-"/>
    <m/>
  </r>
  <r>
    <x v="39"/>
    <s v="-"/>
    <n v="30023093"/>
    <s v="-"/>
    <s v="-"/>
    <s v="Matowy"/>
    <s v="128 GB SSD; 1 TB HDD"/>
    <s v="4 GB"/>
    <s v="i3-7100U"/>
    <s v="2,4 Ghz"/>
    <s v="Win 10"/>
    <x v="25"/>
    <s v="Pendrive"/>
    <s v="Shipping mode,  Touchpad firmaware, Substytut SSD 256 GB"/>
    <s v="E7424"/>
    <s v="D17K"/>
    <s v="Pegatron"/>
    <s v="Tak"/>
    <s v="-"/>
    <n v="3"/>
    <m/>
  </r>
  <r>
    <x v="40"/>
    <s v="PNB C2115-I3B1"/>
    <n v="30023743"/>
    <n v="30021144"/>
    <s v="-"/>
    <s v="Matowy"/>
    <s v="128 GB SSD; 1,5 TB HDD"/>
    <s v="6 GB"/>
    <s v="i3-5005U"/>
    <s v="2 Ghz"/>
    <s v="Win 10"/>
    <x v="26"/>
    <s v="Pendrive"/>
    <s v="KB - BE, Sponge/Poron, Shipping Mode"/>
    <s v="E6415"/>
    <s v="D15D"/>
    <s v="Pegatron"/>
    <s v="Tak"/>
    <s v="-"/>
    <s v="-"/>
    <m/>
  </r>
  <r>
    <x v="41"/>
    <s v="PNB P2015-I7B1"/>
    <n v="30023924"/>
    <n v="30021111"/>
    <s v="-"/>
    <s v="Matowy"/>
    <s v="128 GB SSD; 1,5 TB HDD"/>
    <s v="16 GB"/>
    <s v="i7-6500U"/>
    <s v="2,5-3,1 Ghz"/>
    <s v="Win 10"/>
    <x v="7"/>
    <s v="Pendrive"/>
    <s v="KB - BE"/>
    <s v=" P6663"/>
    <s v="Polo 2"/>
    <s v="ECS"/>
    <s v="Nie"/>
    <s v="-"/>
    <s v="-"/>
    <m/>
  </r>
  <r>
    <x v="42"/>
    <s v="NB PEAQ S4219 PNB S1414- MD60163 BE "/>
    <n v="30024165"/>
    <n v="30021116"/>
    <s v="-"/>
    <s v="Matowy"/>
    <s v="32 GB eMMC;"/>
    <s v="2 GB"/>
    <s v="celeron N3160"/>
    <s v="1,6-2,24 Ghz"/>
    <s v="Win 10"/>
    <x v="27"/>
    <s v="Pendrive"/>
    <s v="BE"/>
    <s v="S1414"/>
    <s v="NSBW1x02"/>
    <s v="Tongfang"/>
    <s v="Nie"/>
    <s v="-"/>
    <s v="-"/>
    <m/>
  </r>
  <r>
    <x v="43"/>
    <s v="-"/>
    <n v="30024110"/>
    <s v="-"/>
    <s v="Srebrny"/>
    <s v="Matowy"/>
    <s v=";1 TB HDD"/>
    <s v="4 GB"/>
    <s v="Pentium 3825U"/>
    <s v="1,9 Ghz"/>
    <s v="Win 10"/>
    <x v="28"/>
    <s v="Pendrive"/>
    <s v="sponge/ poron"/>
    <s v="E6416"/>
    <s v="D15D"/>
    <s v="Pegatron"/>
    <s v="Tak"/>
    <s v="-"/>
    <n v="3"/>
    <m/>
  </r>
  <r>
    <x v="44"/>
    <s v="-"/>
    <n v="30022188"/>
    <s v="-"/>
    <s v="-"/>
    <s v="Matowy"/>
    <s v="128 GB SSD;"/>
    <s v="4 GB"/>
    <s v="Pentium 4405U"/>
    <s v="2,10 GHz"/>
    <s v="Win 10"/>
    <x v="29"/>
    <s v="Pendrive"/>
    <s v="sponge/ poron"/>
    <s v="E6421"/>
    <s v="D15S"/>
    <s v="Pegatron"/>
    <s v="Tak"/>
    <s v="-"/>
    <n v="3"/>
    <m/>
  </r>
  <r>
    <x v="45"/>
    <s v="-"/>
    <n v="30022775"/>
    <s v="-"/>
    <s v="-"/>
    <s v="Matowy"/>
    <s v=";1 TB HDD"/>
    <s v="8 GB"/>
    <s v="i3 - 5005U"/>
    <s v="2,0 GHz"/>
    <s v="Win 10"/>
    <x v="30"/>
    <s v="Pendrive"/>
    <s v="sponge/ poron"/>
    <s v="E6415"/>
    <s v="D15D"/>
    <s v="Pegatron"/>
    <s v="Tak"/>
    <s v="-"/>
    <n v="3"/>
    <m/>
  </r>
  <r>
    <x v="46"/>
    <s v="-"/>
    <n v="30024111"/>
    <s v="-"/>
    <s v="Brązowy"/>
    <s v="Matowy"/>
    <s v=";500GB HDD"/>
    <s v="4 GB"/>
    <s v="i3-5005U"/>
    <s v="2 Ghz"/>
    <s v="Win 10"/>
    <x v="31"/>
    <s v="Pendrive"/>
    <s v="-"/>
    <s v="E7415"/>
    <s v="D17D"/>
    <s v="Pegatron"/>
    <s v="Tak"/>
    <n v="40056401"/>
    <n v="3"/>
    <m/>
  </r>
  <r>
    <x v="47"/>
    <s v="-"/>
    <n v="30024112"/>
    <s v="-"/>
    <s v="Biał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48"/>
    <s v="-"/>
    <n v="30024113"/>
    <s v="-"/>
    <s v="Czarn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49"/>
    <s v="-"/>
    <n v="30024114"/>
    <s v="-"/>
    <s v="Czarny"/>
    <s v="Matowy"/>
    <s v="32 GB eMMC;"/>
    <s v="2 GB"/>
    <s v="celeron N3160"/>
    <s v="1,6-2,24 Ghz"/>
    <s v="Win 10"/>
    <x v="33"/>
    <s v="Pendrive"/>
    <s v="-"/>
    <s v="E2213"/>
    <s v="SF20"/>
    <s v="ECS"/>
    <s v="Nie"/>
    <n v="40057296"/>
    <n v="4"/>
    <m/>
  </r>
  <r>
    <x v="50"/>
    <s v="-"/>
    <n v="30022660"/>
    <s v="-"/>
    <s v="-"/>
    <s v="Touch / NON GLARE"/>
    <s v="64 GB eMMC;"/>
    <s v="2 GB"/>
    <s v="Atom X5-Z8350"/>
    <s v="1,44 - 1,92 Ghz"/>
    <s v="Win 10"/>
    <x v="17"/>
    <s v="Pendrive"/>
    <s v="Zamiast Recovery robimy RE-!!!"/>
    <s v="E1239T"/>
    <s v="3165 3ND "/>
    <s v="Wingman"/>
    <s v="Nie"/>
    <s v="-"/>
    <n v="2"/>
    <m/>
  </r>
  <r>
    <x v="51"/>
    <s v="-"/>
    <n v="30022776"/>
    <s v="-"/>
    <s v="-"/>
    <s v="Touch / NON GLARE"/>
    <s v="128 GB SSD;"/>
    <s v="2 GB"/>
    <s v="Atom X5-Z8350"/>
    <s v="1,44 - 1,92 Ghz"/>
    <s v="Win 10"/>
    <x v="11"/>
    <s v="Pendrive"/>
    <s v="Zamiast Recovery robimy RE-!!!"/>
    <s v=" E1239T"/>
    <s v="3165 3ND "/>
    <s v="Wingman"/>
    <s v="Nie"/>
    <s v="-"/>
    <n v="2"/>
    <m/>
  </r>
  <r>
    <x v="52"/>
    <s v="-"/>
    <n v="30022666"/>
    <s v="-"/>
    <s v="-"/>
    <s v="Matowy"/>
    <s v="128 GB SSD;"/>
    <s v="8 GB"/>
    <s v="i5-6200U"/>
    <s v="2,3-2,8 GHz"/>
    <s v="Win 10"/>
    <x v="20"/>
    <s v="Pendrive"/>
    <s v="sponge/ poron"/>
    <s v="P6661"/>
    <s v="D15S"/>
    <s v="Pegatron"/>
    <s v="Tak"/>
    <s v="-"/>
    <n v="3"/>
    <m/>
  </r>
  <r>
    <x v="53"/>
    <s v="-"/>
    <s v="30022665, 30024591 (NL)"/>
    <s v="-"/>
    <s v="-"/>
    <s v="Touch / NON GLARE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54"/>
    <s v="-"/>
    <s v="30023149, 30023576, 30023575, 30024588 (BE)"/>
    <s v="-"/>
    <s v="Złoty, Biały, Czarny"/>
    <s v="Touch"/>
    <s v="64 GB eMMC;"/>
    <s v="4 GB"/>
    <s v="Atom x5-z8300"/>
    <s v="1,44-1,84 Ghz"/>
    <s v="Win 10"/>
    <x v="34"/>
    <s v="Pendrive"/>
    <s v="Magnesy w TOP CASE! Update biosu, do najwyższego Build Date."/>
    <s v="E2218T"/>
    <s v="NT16H"/>
    <s v="Emdoor"/>
    <s v="Nie"/>
    <s v="-"/>
    <n v="2"/>
    <m/>
  </r>
  <r>
    <x v="55"/>
    <s v="-"/>
    <s v="30023315, 30024576 (ES)"/>
    <s v="-"/>
    <s v="Biał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56"/>
    <s v="-"/>
    <s v="30023577, 30024589 (ES)"/>
    <s v="-"/>
    <s v="Czarn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57"/>
    <s v="-"/>
    <n v="30024042"/>
    <s v="-"/>
    <s v="Srebrny"/>
    <s v="Matowy"/>
    <s v="128 GB SSD;"/>
    <s v="4 GB"/>
    <s v="Pentium N3700"/>
    <s v="1,6-2,4 Ghz"/>
    <s v="Win 10"/>
    <x v="23"/>
    <s v="Pendrive"/>
    <s v="Obowiązkowa instrukcja ME.QA.02.528 / EC"/>
    <s v="S6219"/>
    <s v="NSBW1x02"/>
    <s v="Tongfang"/>
    <s v="Nie"/>
    <s v="-"/>
    <n v="4"/>
    <m/>
  </r>
  <r>
    <x v="58"/>
    <s v="-"/>
    <n v="30023555"/>
    <s v="-"/>
    <s v="-"/>
    <s v="Matowy"/>
    <s v="256 GB SSD;"/>
    <s v="8 GB"/>
    <s v="i5-7200u"/>
    <s v="2,5-3,1 Ghz"/>
    <s v="Win 10"/>
    <x v="35"/>
    <s v="Pendrive64 GB"/>
    <s v="(Shipping mode)"/>
    <s v="S3409"/>
    <s v="F13K"/>
    <s v="Pegatron"/>
    <s v="Tak"/>
    <s v="-"/>
    <n v="3"/>
    <m/>
  </r>
  <r>
    <x v="59"/>
    <s v="CNB PEAQ E2215T PNB T2011 MD60223 NL REF"/>
    <n v="30023202"/>
    <n v="30021325"/>
    <s v="-"/>
    <s v="Touch /GLARE"/>
    <s v="64 GB eMMC;"/>
    <s v="2 GB"/>
    <s v="Atom X5-Z8350"/>
    <s v="1,44 - 1,92 Ghz"/>
    <s v="Win 10"/>
    <x v="36"/>
    <s v="Pendrive"/>
    <s v="KB - NL /  zamiast recovery re"/>
    <s v="T2011"/>
    <s v="NT16H"/>
    <s v="Emdoor"/>
    <s v="Nie"/>
    <s v="-"/>
    <s v="-"/>
    <m/>
  </r>
  <r>
    <x v="60"/>
    <s v="-"/>
    <n v="30024342"/>
    <s v="-"/>
    <s v="Czarn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61"/>
    <s v="-"/>
    <n v="30024115"/>
    <s v="-"/>
    <s v="Srebrny"/>
    <s v="Matowy"/>
    <s v="512 GB SSD;"/>
    <s v="8 GB"/>
    <s v="i7-7500U"/>
    <s v="2,7-3,5 Ghz"/>
    <s v="Win 10"/>
    <x v="37"/>
    <s v="Pendrive"/>
    <s v="-"/>
    <s v="S3409"/>
    <s v="F13K"/>
    <s v="Pegatron"/>
    <s v="Tak"/>
    <n v="40060198"/>
    <n v="3"/>
    <m/>
  </r>
  <r>
    <x v="62"/>
    <s v="-"/>
    <n v="30023830"/>
    <s v="-"/>
    <s v="Różow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63"/>
    <s v="-"/>
    <n v="30023831"/>
    <s v="-"/>
    <s v="Złot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64"/>
    <s v="-"/>
    <n v="30024116"/>
    <s v="-"/>
    <s v="Srebrny"/>
    <s v="Touch 1080p"/>
    <s v="64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65"/>
    <s v="-"/>
    <n v="30024117"/>
    <s v="-"/>
    <s v="Srebrny"/>
    <s v="Błyszczący"/>
    <s v="512 GB SSD;"/>
    <s v="8 GB"/>
    <s v="i7-7500U"/>
    <s v="2,7-3,5 Ghz"/>
    <s v="Win 10"/>
    <x v="37"/>
    <s v="Pendrive"/>
    <s v="-"/>
    <s v="S3409"/>
    <s v="F13K"/>
    <s v="Pegatron"/>
    <s v="Tak"/>
    <n v="40060198"/>
    <n v="3"/>
    <m/>
  </r>
  <r>
    <x v="66"/>
    <s v="-"/>
    <n v="30024118"/>
    <s v="-"/>
    <s v="Czarny"/>
    <s v="Matowy"/>
    <s v="256 GB SSD; 1 TB HDD"/>
    <s v="8 GB"/>
    <s v="i5-6300HQ"/>
    <s v="2,3 Ghz"/>
    <s v="Win 10"/>
    <x v="38"/>
    <s v="Pendrive"/>
    <s v="-"/>
    <s v="X6601"/>
    <s v="N155R01-M"/>
    <s v="Clevo"/>
    <s v="Nie"/>
    <n v="40060155"/>
    <n v="3"/>
    <m/>
  </r>
  <r>
    <x v="67"/>
    <s v="-"/>
    <n v="30024119"/>
    <s v="-"/>
    <s v="Srebrny"/>
    <s v="Matowy"/>
    <s v="128 GB eMMC;"/>
    <s v="4 GB"/>
    <s v="Celeron N3060"/>
    <s v="1,6-2,48 Ghz"/>
    <s v="Win 10"/>
    <x v="23"/>
    <s v="Pendrive"/>
    <s v="Obowiązkowa instrukcja ME.QA.02.528 / EC"/>
    <s v="S6219"/>
    <s v="NSBW1x02"/>
    <s v="Tongfang"/>
    <s v="Nie"/>
    <n v="40057145"/>
    <n v="4"/>
    <m/>
  </r>
  <r>
    <x v="68"/>
    <s v="-"/>
    <s v="30023449, 30023812, 30023813"/>
    <s v="-"/>
    <s v="Srebrny, Biały, Czarny"/>
    <s v="Touch / GLARE"/>
    <s v="64 GB eMMC;"/>
    <s v="4 GB"/>
    <s v="Atom x5-z8300"/>
    <s v="1,44-1,84 Ghz"/>
    <s v="Win 10"/>
    <x v="39"/>
    <s v="Pendrive"/>
    <s v="Magnesy w TOP CASE! Update biosu, do najwyższego Build Date."/>
    <s v="E2228T"/>
    <s v="NT16H"/>
    <s v="Emdoor"/>
    <s v="Nie"/>
    <s v="-"/>
    <n v="2"/>
    <m/>
  </r>
  <r>
    <x v="69"/>
    <s v="-"/>
    <n v="30023362"/>
    <s v="-"/>
    <s v="-"/>
    <s v="Touch /NON GLARE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70"/>
    <s v="-"/>
    <n v="30023165"/>
    <s v="-"/>
    <s v="-"/>
    <s v="Touch /NON GLARE"/>
    <s v="64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71"/>
    <s v="-"/>
    <n v="30024120"/>
    <s v="-"/>
    <s v="Grafitowy"/>
    <s v="Matowy"/>
    <s v="256 GB SSD; 1 TB HDD"/>
    <s v="8 GB"/>
    <s v="i5-6200U"/>
    <s v="2,3-2,8 GHz"/>
    <s v="Win 10"/>
    <x v="19"/>
    <s v="Pendrive"/>
    <s v="dwa SWM"/>
    <s v="P6669"/>
    <s v="E15S"/>
    <s v="Pegatron"/>
    <s v="Nie"/>
    <n v="40056401"/>
    <n v="3"/>
    <m/>
  </r>
  <r>
    <x v="72"/>
    <s v="-"/>
    <n v="30022777"/>
    <s v="-"/>
    <s v="-"/>
    <s v="Touch / NON GLARE"/>
    <s v="64 GB eMMC;"/>
    <s v="2 GB"/>
    <s v="Atom X5-Z8350"/>
    <s v="1,44 - 1,92 Ghz"/>
    <s v="Win 10"/>
    <x v="11"/>
    <s v="Pendrive"/>
    <s v="Zamiast Recovery robimy RE-!!!"/>
    <s v="E1239T"/>
    <s v="3165 3ND "/>
    <s v="Wingman"/>
    <s v="Nie"/>
    <s v="-"/>
    <n v="2"/>
    <m/>
  </r>
  <r>
    <x v="73"/>
    <s v="-"/>
    <n v="30022667"/>
    <s v="-"/>
    <s v="-"/>
    <s v="Touch / NON GLARE"/>
    <s v="64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74"/>
    <s v="-"/>
    <n v="30022664"/>
    <s v="-"/>
    <s v="-"/>
    <s v="Matowy"/>
    <s v="256 GB SSD;"/>
    <s v="8 GB"/>
    <s v="i5-7200u"/>
    <s v="2,5-3,1 Ghz"/>
    <s v="Win 10"/>
    <x v="35"/>
    <s v="Pendrive64 GB"/>
    <s v="F11 lub Recovery spod Windows - wpisać powerRecover"/>
    <s v="S3409"/>
    <s v="F13K"/>
    <s v="Pegatron"/>
    <s v="Tak"/>
    <s v="-"/>
    <n v="3"/>
    <m/>
  </r>
  <r>
    <x v="75"/>
    <s v="-"/>
    <n v="30022663"/>
    <s v="-"/>
    <s v="-"/>
    <s v="Matowy"/>
    <s v="32 GB eMMC; 500 GB HDD"/>
    <s v="4 GB"/>
    <s v="Celeron N3060"/>
    <s v="1,6-2,48 Ghz"/>
    <s v="Win 10"/>
    <x v="9"/>
    <s v="Pendrive"/>
    <s v="Nowe MB magą się nie włączać dopóki nie poklika się kila razy we włącznik."/>
    <s v="S6219"/>
    <s v="NSBW1x02"/>
    <s v="Tongfang"/>
    <s v="Nie"/>
    <s v="-"/>
    <n v="4"/>
    <m/>
  </r>
  <r>
    <x v="76"/>
    <s v="-"/>
    <n v="30024275"/>
    <s v="-"/>
    <s v="Srebrny"/>
    <s v="Matowy"/>
    <s v="128 GB SSD; 500 GB HDD"/>
    <s v="4 GB"/>
    <s v="Pentium 3710U"/>
    <s v="1,6-2,56 Ghz"/>
    <s v="Win 10"/>
    <x v="23"/>
    <s v="Pendrive"/>
    <s v="Obowiązkowa instrukcja ME.QA.02.528 / EC"/>
    <s v="S6219"/>
    <s v="NSBW1x02"/>
    <s v="Tongfang"/>
    <s v="Nie"/>
    <s v="-"/>
    <n v="4"/>
    <m/>
  </r>
  <r>
    <x v="77"/>
    <s v="-"/>
    <n v="30024121"/>
    <s v="-"/>
    <s v="Srebrny"/>
    <s v="Matowy"/>
    <s v=";500 GB HDD"/>
    <s v="4 GB"/>
    <s v="Celeron 3855U"/>
    <s v="1,6 Ghz"/>
    <s v="Win 10"/>
    <x v="8"/>
    <s v="Pendrive"/>
    <s v="-"/>
    <s v="E7419"/>
    <s v="D17S"/>
    <s v="Pegatron"/>
    <s v="Tak"/>
    <n v="40056401"/>
    <n v="3"/>
    <m/>
  </r>
  <r>
    <x v="78"/>
    <s v="-"/>
    <n v="30024122"/>
    <s v="-"/>
    <s v="Czarny, gumowany"/>
    <s v="Matowy"/>
    <s v="256 GB SSD;"/>
    <s v="8 GB"/>
    <s v="i5-7200u"/>
    <s v="2,5-3,1 Ghz"/>
    <s v="Win 10"/>
    <x v="40"/>
    <s v="Pendrive"/>
    <s v="tp firmware, sponge/ poron"/>
    <s v="P6679 "/>
    <s v="D15K"/>
    <s v="Pegatron"/>
    <s v="Tak"/>
    <s v="-"/>
    <n v="3"/>
    <m/>
  </r>
  <r>
    <x v="79"/>
    <s v="-"/>
    <n v="30024060"/>
    <s v="-"/>
    <s v="Czarny, gumowany"/>
    <s v="Matowy"/>
    <s v="256 GB SSD;"/>
    <s v="8 GB"/>
    <s v="i5-7200u"/>
    <s v="2,5-3,1 Ghz"/>
    <s v="Win 10"/>
    <x v="40"/>
    <s v="Pendrive"/>
    <s v="tp firmware, sponge/ poron"/>
    <s v="P6679"/>
    <s v="D15K"/>
    <s v="Pegatron"/>
    <s v="Tak"/>
    <n v="40059588"/>
    <n v="3"/>
    <m/>
  </r>
  <r>
    <x v="80"/>
    <s v="-"/>
    <n v="30024123"/>
    <s v="-"/>
    <s v="Czarny"/>
    <s v="Matowy"/>
    <s v="128 GB eMMC;"/>
    <s v="4 GB"/>
    <s v="Celeron N3060"/>
    <s v="1,6-2,48 Ghz"/>
    <s v="Win 10"/>
    <x v="41"/>
    <s v="Pendrive"/>
    <s v="Obowiązkowa instrukcja ME.QA.02.528 / EC"/>
    <s v="S6219"/>
    <s v="NSBW1x02"/>
    <s v="Tongfang"/>
    <s v="Nie"/>
    <n v="40057145"/>
    <n v="4"/>
    <m/>
  </r>
  <r>
    <x v="81"/>
    <s v="-"/>
    <s v="30023578, 30024592 (NL)"/>
    <s v="-"/>
    <s v="Biały"/>
    <s v="Touch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n v="40058940"/>
    <n v="2"/>
    <m/>
  </r>
  <r>
    <x v="82"/>
    <s v="-"/>
    <n v="30024124"/>
    <s v="-"/>
    <s v="Grafitowy"/>
    <s v="Matowy"/>
    <s v="256 GB SSD; 2 TB HDD"/>
    <s v="16 GB"/>
    <s v="i7-7500U"/>
    <s v="2,7-3,5 Ghz"/>
    <s v="Win 10"/>
    <x v="42"/>
    <s v="Pendrive"/>
    <s v="tp firmware"/>
    <s v="P6677"/>
    <s v="E15K"/>
    <s v="Pegatron"/>
    <s v="Nie"/>
    <n v="40061308"/>
    <n v="3"/>
    <m/>
  </r>
  <r>
    <x v="83"/>
    <s v="-"/>
    <n v="30024125"/>
    <s v="-"/>
    <s v="Różow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84"/>
    <s v="-"/>
    <n v="30024126"/>
    <s v="-"/>
    <s v="Czarny"/>
    <s v="Matowy"/>
    <s v="512 GB SSD; 1,5 TB HDD"/>
    <s v="16 GB"/>
    <s v="i7-6700HQ "/>
    <s v="2,6-3,5 "/>
    <s v="Win 10"/>
    <x v="38"/>
    <s v="Pendrive"/>
    <s v="-"/>
    <s v="X6601 "/>
    <s v="-"/>
    <s v="Clevo"/>
    <s v="Nie"/>
    <s v="-"/>
    <n v="3"/>
    <m/>
  </r>
  <r>
    <x v="85"/>
    <s v="-"/>
    <n v="30024061"/>
    <s v="-"/>
    <s v="Grafitowy"/>
    <s v="Touch"/>
    <s v="128 GB SSD;"/>
    <s v="8 GB"/>
    <s v="m5-6Y54"/>
    <s v="1,1-2,7 Ghz"/>
    <s v="Win 10"/>
    <x v="43"/>
    <s v="Pendrive64 GB"/>
    <s v="doczepiana klawiatura, ustawić kolejność botowania w bios"/>
    <s v="P3401T"/>
    <s v="3ND"/>
    <s v="Wingman"/>
    <s v="Nie"/>
    <s v="-"/>
    <n v="4"/>
    <m/>
  </r>
  <r>
    <x v="86"/>
    <s v="-"/>
    <n v="30023686"/>
    <s v="-"/>
    <s v="-"/>
    <s v="Matowy"/>
    <s v=";1 TB HDD"/>
    <s v="4 GB"/>
    <s v="Pentium 4405U"/>
    <s v="2,10 GHz"/>
    <s v="Win 10"/>
    <x v="44"/>
    <s v="Pendrive"/>
    <s v="-"/>
    <s v="E6430"/>
    <s v="E15S"/>
    <s v="Pegatron"/>
    <s v="Nie"/>
    <s v="-"/>
    <n v="3"/>
    <m/>
  </r>
  <r>
    <x v="87"/>
    <s v="-"/>
    <n v="30024276"/>
    <s v="-"/>
    <s v="Biały"/>
    <s v="Touch 720p"/>
    <s v="32 GB eMMC;"/>
    <s v="2 GB"/>
    <s v="Atom X5-Z8350"/>
    <s v="1,44 - 1,92 Ghz"/>
    <s v="Win 10"/>
    <x v="32"/>
    <s v="Pendrive"/>
    <s v="Magnesy w TOP CASE! Update biosu, do najwyższego Build Date."/>
    <s v="E2215T"/>
    <s v="NT16H"/>
    <s v="Emdoor"/>
    <s v="Nie"/>
    <s v="-"/>
    <n v="2"/>
    <m/>
  </r>
  <r>
    <x v="88"/>
    <s v="-"/>
    <n v="30024127"/>
    <s v="-"/>
    <s v="Srebrny"/>
    <s v="Matowy 1080p"/>
    <s v="256 GB SSD;"/>
    <s v="4 GB"/>
    <s v="i5-7200u"/>
    <s v="2,5-3,1 Ghz"/>
    <s v="Win 10"/>
    <x v="45"/>
    <s v="Pendrive"/>
    <s v="-"/>
    <s v="S3409"/>
    <s v="F13K"/>
    <s v="Pegatron"/>
    <s v="Tak"/>
    <s v="-"/>
    <n v="3"/>
    <m/>
  </r>
  <r>
    <x v="89"/>
    <s v="-"/>
    <n v="30024128"/>
    <s v="-"/>
    <s v="Grafitowy"/>
    <s v="Matowy"/>
    <s v="128 GB SSD; 1 TB HDD"/>
    <s v="8 GB"/>
    <s v="i7-7500U"/>
    <s v="2,7-3,5 Ghz"/>
    <s v="Win 10"/>
    <x v="42"/>
    <s v="Pendrive"/>
    <s v="tp firmware, wypięta taśma od IO board"/>
    <s v="P6677"/>
    <s v="E15K"/>
    <s v="Pegatron"/>
    <s v="Nie"/>
    <n v="40056401"/>
    <n v="3"/>
    <m/>
  </r>
  <r>
    <x v="90"/>
    <s v="-"/>
    <n v="30024129"/>
    <s v="-"/>
    <s v="Grafitowy"/>
    <s v="Matowy"/>
    <s v=";1 TB HDD"/>
    <s v="8 GB"/>
    <s v="i5-7200u"/>
    <s v="2,5-3,1 Ghz"/>
    <s v="Win 10"/>
    <x v="42"/>
    <s v="Pendrive"/>
    <s v="tp firmware"/>
    <s v="P6677"/>
    <s v="E15K"/>
    <s v="Pegatron"/>
    <s v="Nie"/>
    <n v="40056401"/>
    <n v="3"/>
    <m/>
  </r>
  <r>
    <x v="91"/>
    <s v="-"/>
    <n v="30024130"/>
    <s v="-"/>
    <s v="Czarny, gumowany"/>
    <s v="Matowy"/>
    <s v=";1 TB HDD"/>
    <s v="8 GB"/>
    <s v="i5-7200u"/>
    <s v="2,5-3,1 Ghz"/>
    <s v="Win 10"/>
    <x v="46"/>
    <s v="Pendrive"/>
    <s v="tp firmware"/>
    <s v="P7647"/>
    <s v="D17K"/>
    <s v="Pegatron"/>
    <s v="Tak"/>
    <n v="40059588"/>
    <n v="3"/>
    <m/>
  </r>
  <r>
    <x v="92"/>
    <s v="-"/>
    <n v="30024131"/>
    <s v="-"/>
    <s v="Czarny, gumowany"/>
    <s v="Matowy"/>
    <s v="256 GB SSD; 1,5 TB HDD "/>
    <s v="16 GB"/>
    <s v="i7-7500U"/>
    <s v="2,7-3,5 Ghz"/>
    <s v="Win 10"/>
    <x v="46"/>
    <s v="Pendrive"/>
    <s v="tp firmware"/>
    <s v="P7647"/>
    <s v="D17K"/>
    <s v="Pegatron"/>
    <s v="Tak"/>
    <n v="40059588"/>
    <n v="3"/>
    <m/>
  </r>
  <r>
    <x v="93"/>
    <s v="-"/>
    <n v="30024132"/>
    <s v="-"/>
    <s v="Grafitowy"/>
    <s v="Matowy"/>
    <s v="256 GB SSD;"/>
    <s v="8 GB"/>
    <s v="i5-7200u"/>
    <s v="2,5-3,1 Ghz"/>
    <s v="Win 10"/>
    <x v="47"/>
    <s v="Pendrive"/>
    <s v="tp firmware"/>
    <s v="P7645"/>
    <s v="D17K"/>
    <s v="Pegatron"/>
    <s v="Tak"/>
    <n v="40057143"/>
    <n v="3"/>
    <m/>
  </r>
  <r>
    <x v="94"/>
    <s v="-"/>
    <n v="30023904"/>
    <s v="-"/>
    <s v="Grafitowy"/>
    <s v="Matowy"/>
    <s v="128 GB SSD; 1,5 TB HDD"/>
    <s v="8 GB"/>
    <s v="i7-7500U"/>
    <s v="2,7-3,5 Ghz"/>
    <s v="Win 10"/>
    <x v="48"/>
    <s v="Pendrive"/>
    <s v="Touchpad firmware"/>
    <s v="P7645"/>
    <s v="D17K"/>
    <s v="Pegatron"/>
    <s v="Tak"/>
    <s v="-"/>
    <n v="3"/>
    <m/>
  </r>
  <r>
    <x v="95"/>
    <s v="-"/>
    <n v="30023687"/>
    <s v="-"/>
    <s v="-"/>
    <s v="Matowy"/>
    <s v="128 GB SSD; 1 TB HDD"/>
    <s v="8 GB"/>
    <s v="i5-7200u"/>
    <s v="2,5-3,1 Ghz"/>
    <s v="Win 10"/>
    <x v="49"/>
    <s v="Pednrive"/>
    <s v="Bios spod EFI. Pliki EFI u lidera. (E15K)  Touchpad firmaware"/>
    <s v="E6435"/>
    <s v="E15K"/>
    <s v="Pegatron"/>
    <s v="Nie"/>
    <s v="-"/>
    <n v="3"/>
    <m/>
  </r>
  <r>
    <x v="96"/>
    <s v="-"/>
    <n v="30024043"/>
    <s v="-"/>
    <s v="Srebrny"/>
    <s v="Matowy"/>
    <s v="256 GB SSD;"/>
    <s v="8 GB"/>
    <s v="i5-7200u"/>
    <s v="2,5-3,1 Ghz"/>
    <s v="Win 10"/>
    <x v="50"/>
    <s v="Pendrive"/>
    <s v="tp firmware, wypięta taśma od IO board"/>
    <s v="E6435"/>
    <s v="E15K"/>
    <s v="Pegatron"/>
    <s v="Nie"/>
    <s v="-"/>
    <n v="3"/>
    <m/>
  </r>
  <r>
    <x v="97"/>
    <s v="-"/>
    <n v="30024133"/>
    <s v="-"/>
    <s v="Srebrny"/>
    <s v="Matowy"/>
    <s v=";1 TB HDD"/>
    <s v="4 GB"/>
    <s v="Pentium 3825U"/>
    <s v="1,9 Ghz"/>
    <s v="Win 10"/>
    <x v="31"/>
    <s v="Pendrive"/>
    <s v="sponge/ poron"/>
    <s v="E6416"/>
    <s v="D15D"/>
    <s v="Pegatron"/>
    <s v="Tak"/>
    <s v="-"/>
    <n v="3"/>
    <m/>
  </r>
  <r>
    <x v="98"/>
    <s v="-"/>
    <n v="30023905"/>
    <s v="-"/>
    <s v="Srebrny"/>
    <s v="Matowy"/>
    <s v="256 GB SSD; 1 TB HDD"/>
    <s v="8 GB"/>
    <s v="i3-7100U"/>
    <s v="2,4 Ghz"/>
    <s v="Win 10"/>
    <x v="51"/>
    <s v="Pendrive"/>
    <s v="Touchpad firmware"/>
    <s v="E7424"/>
    <s v="D17K"/>
    <s v="Pegatron"/>
    <s v="Tak"/>
    <s v="-"/>
    <n v="3"/>
    <m/>
  </r>
  <r>
    <x v="99"/>
    <s v="-"/>
    <n v="30024134"/>
    <s v="-"/>
    <s v="Czarny, gumowany"/>
    <s v="Matowy"/>
    <s v="256 GB SSD;"/>
    <s v="8 GB"/>
    <s v="i5-7200u"/>
    <s v="2,5-3,1 Ghz"/>
    <s v="Win 10"/>
    <x v="40"/>
    <s v="Pendrive"/>
    <s v="sponge/ poron"/>
    <s v="P6679"/>
    <s v="D15K"/>
    <s v="Pegatron"/>
    <s v="Tak"/>
    <s v="-"/>
    <n v="3"/>
    <m/>
  </r>
  <r>
    <x v="100"/>
    <s v="-"/>
    <n v="30024135"/>
    <s v="-"/>
    <s v="Czarny, gumowany"/>
    <s v="Matowy"/>
    <s v="256 GB SSD;"/>
    <s v="12 GB"/>
    <s v="i7-6500U"/>
    <s v="2,5-3,1 Ghz"/>
    <s v="-"/>
    <x v="22"/>
    <s v="LIVE Pendrive"/>
    <s v="sponge/ poron"/>
    <s v="P6661"/>
    <s v="D15S"/>
    <s v="Pegatron"/>
    <s v="Tak"/>
    <n v="40057142"/>
    <n v="3"/>
    <m/>
  </r>
  <r>
    <x v="101"/>
    <s v="-"/>
    <n v="30023448"/>
    <s v="-"/>
    <s v="-"/>
    <s v="Matowy"/>
    <s v="256 GB SSD;"/>
    <s v="16 GB"/>
    <s v="i5-6200U"/>
    <s v="2,3-2,8 GHz"/>
    <s v="Win 10"/>
    <x v="20"/>
    <s v="Pendrive"/>
    <s v="sponge/ poron"/>
    <s v="P6661"/>
    <s v="D15S"/>
    <s v="Pegatron"/>
    <s v="Tak"/>
    <s v="-"/>
    <n v="3"/>
    <m/>
  </r>
  <r>
    <x v="102"/>
    <s v="-"/>
    <n v="30024136"/>
    <s v="-"/>
    <s v="Grafitowy"/>
    <s v="Matowy"/>
    <s v="512 GB SSD; 1,5 TB HDD"/>
    <s v="16 GB"/>
    <s v="i7-6500U"/>
    <s v="2,5-3,1 Ghz"/>
    <s v="Win 10"/>
    <x v="52"/>
    <s v="Pendrive"/>
    <s v="-"/>
    <s v="P6669"/>
    <s v="E15S"/>
    <s v="Pegatron"/>
    <s v="Nie"/>
    <n v="40056401"/>
    <n v="3"/>
    <m/>
  </r>
  <r>
    <x v="103"/>
    <s v="-"/>
    <n v="30024137"/>
    <s v="-"/>
    <s v="Czarny, gumowany"/>
    <s v="Matowy"/>
    <s v="256 GB SSD; 1 TB HDD"/>
    <s v="8 GB"/>
    <s v="i5-6200U"/>
    <s v="2,3-2,8 GHz"/>
    <s v="Win 10"/>
    <x v="20"/>
    <s v="Pendrive"/>
    <s v="-"/>
    <s v="P7643"/>
    <s v="D17S"/>
    <s v="Pegatron"/>
    <s v="Tak"/>
    <n v="40059588"/>
    <n v="3"/>
    <m/>
  </r>
  <r>
    <x v="104"/>
    <s v="-"/>
    <n v="30023832"/>
    <s v="-"/>
    <s v="Grafitowy"/>
    <s v="Matowy"/>
    <s v="128 GB SSD; 1 TB HDD"/>
    <s v="6 GB"/>
    <s v="i5-6200U"/>
    <s v="2,3-2,8 GHz"/>
    <s v="Win 10"/>
    <x v="52"/>
    <s v="Pendrive"/>
    <s v="-"/>
    <s v="P6670"/>
    <s v="E15S"/>
    <s v="Pegatron"/>
    <s v="Nie"/>
    <s v="-"/>
    <n v="3"/>
    <m/>
  </r>
  <r>
    <x v="105"/>
    <s v="-"/>
    <n v="30024138"/>
    <s v="-"/>
    <s v="Srebrny"/>
    <s v="Matowy"/>
    <s v="128 GB SSD; 1 TB HDD"/>
    <s v="8 GB"/>
    <s v="i5-6200U"/>
    <s v="2,3-2,8 GHz"/>
    <s v="Win 10"/>
    <x v="53"/>
    <s v="Pendrive"/>
    <s v="sponge/ poron"/>
    <s v="E6422"/>
    <s v="D15S"/>
    <s v="Pegatron"/>
    <s v="Tak"/>
    <n v="40059713"/>
    <n v="3"/>
    <m/>
  </r>
  <r>
    <x v="106"/>
    <s v="-"/>
    <n v="30024139"/>
    <s v="-"/>
    <s v="Srebrny"/>
    <s v="Matowy"/>
    <s v="64 GB eMMC;"/>
    <s v="2 GB"/>
    <s v="Atom Z3735F"/>
    <s v="1,33-1,83 Ghz"/>
    <s v="Win 10"/>
    <x v="54"/>
    <s v="Pendrive"/>
    <s v="bateria bios"/>
    <s v="S2218"/>
    <s v="EF20"/>
    <s v="ECS"/>
    <s v="Nie"/>
    <s v="-"/>
    <s v="bez"/>
    <m/>
  </r>
  <r>
    <x v="107"/>
    <s v="-"/>
    <n v="30024140"/>
    <s v="-"/>
    <s v="Brązowy"/>
    <s v="Matowy"/>
    <s v="256 GB SSD;"/>
    <s v="8 GB"/>
    <s v="i3-5005U"/>
    <s v="2 Ghz"/>
    <s v="Win 10"/>
    <x v="30"/>
    <s v="Pendrive"/>
    <s v="sponge/ poron"/>
    <s v="E6415"/>
    <s v="D15D"/>
    <s v="Pegatron"/>
    <s v="Tak"/>
    <s v="-"/>
    <n v="3"/>
    <m/>
  </r>
  <r>
    <x v="108"/>
    <s v="C2015-I5N2"/>
    <n v="30023744"/>
    <n v="30022160"/>
    <s v="-"/>
    <s v="Matowy"/>
    <s v="512 GB SSD;"/>
    <s v="8 GB"/>
    <s v="i5-6200U"/>
    <s v="2,3-2,8 GHz"/>
    <s v="Win 10"/>
    <x v="6"/>
    <s v="Pendrive"/>
    <s v="KB - NL"/>
    <s v="E6425"/>
    <s v="Polo 2"/>
    <s v="ECS"/>
    <s v="Nie"/>
    <s v="-"/>
    <s v="-"/>
    <m/>
  </r>
  <r>
    <x v="109"/>
    <s v="-"/>
    <n v="30023579"/>
    <s v="-"/>
    <s v="-"/>
    <s v="Matowy"/>
    <s v="256 GB SSD;"/>
    <s v="8 GB"/>
    <s v="i5-7200u"/>
    <s v="2,5-3,1 Ghz"/>
    <s v="Win 10"/>
    <x v="35"/>
    <s v="Pendrive 64 GB"/>
    <s v="Shipping mode (F13K)"/>
    <s v="S3409"/>
    <s v="F13K"/>
    <s v="Pegatron"/>
    <s v="Tak"/>
    <s v="-"/>
    <n v="3"/>
    <m/>
  </r>
  <r>
    <x v="110"/>
    <s v="-"/>
    <n v="30024141"/>
    <s v="-"/>
    <s v="Srebrny"/>
    <s v="Matowy"/>
    <s v="512 GB SSD;"/>
    <s v="8 GB"/>
    <s v="i7-7500U"/>
    <s v="2,7-3,5 Ghz"/>
    <s v="Win 10"/>
    <x v="35"/>
    <s v="Pendrive"/>
    <s v="-"/>
    <s v="S3409"/>
    <s v="F13K"/>
    <s v="Pegatron"/>
    <s v="Tak"/>
    <s v="-"/>
    <n v="3"/>
    <m/>
  </r>
  <r>
    <x v="111"/>
    <s v="-"/>
    <n v="30023590"/>
    <s v="-"/>
    <s v="Czarny"/>
    <s v="Touch 720p"/>
    <s v="128 GB eMMC;"/>
    <s v="4 GB"/>
    <s v="Atom X5-Z8350"/>
    <s v="1,44 - 1,92 Ghz"/>
    <s v="Win 10"/>
    <x v="55"/>
    <s v="Pendrive"/>
    <s v="Magnesy w TOP CASE! Update biosu, do najwyższego Build Date."/>
    <s v="E2221T"/>
    <s v="NT16H"/>
    <s v="Emdoor"/>
    <s v="Nie"/>
    <s v="-"/>
    <n v="2"/>
    <m/>
  </r>
  <r>
    <x v="112"/>
    <s v="-"/>
    <n v="30023688"/>
    <s v="-"/>
    <s v="-"/>
    <s v="Touch"/>
    <s v="128 GB eMMC;"/>
    <s v="2 GB"/>
    <s v="Atom X5-Z8350"/>
    <s v="1,44 - 1,92 Ghz"/>
    <s v="Win 10 x32"/>
    <x v="56"/>
    <s v="Pendrive"/>
    <s v="Re (Wingman)"/>
    <s v="E1239T"/>
    <s v="3165 3ND"/>
    <s v="Wingman"/>
    <s v="Nie"/>
    <s v="-"/>
    <n v="2"/>
    <m/>
  </r>
  <r>
    <x v="113"/>
    <s v="-"/>
    <n v="30024044"/>
    <s v="-"/>
    <s v="Czarny, gumowany"/>
    <s v="Matowy"/>
    <s v="512 GB SSD;"/>
    <s v="16 GB"/>
    <s v="i7-7500U"/>
    <s v="2,7-3,5 Ghz"/>
    <s v="Win 10"/>
    <x v="57"/>
    <s v="Pendrive"/>
    <s v="tp firmware"/>
    <s v="P7647"/>
    <s v="D17K"/>
    <s v="Pegatron"/>
    <s v="Tak"/>
    <s v="-"/>
    <n v="3"/>
    <m/>
  </r>
  <r>
    <x v="114"/>
    <s v="-"/>
    <n v="30024062"/>
    <s v="-"/>
    <s v="Grafitowy"/>
    <s v="Matowy"/>
    <s v="256 GB SSD;"/>
    <s v="8 GB"/>
    <s v="i5-7200u"/>
    <s v="2,5-3,1 Ghz"/>
    <s v="Win 10"/>
    <x v="58"/>
    <s v="Pendrive"/>
    <s v="tp firmware"/>
    <s v="P6677"/>
    <s v="E15K"/>
    <s v="Pegatron"/>
    <s v="Nie"/>
    <n v="40056401"/>
    <n v="3"/>
    <m/>
  </r>
  <r>
    <x v="115"/>
    <s v="-"/>
    <n v="30024045"/>
    <s v="-"/>
    <s v="Grafitowy"/>
    <s v="Błyszczący"/>
    <s v="128 GB SSD; 1 TB HDD"/>
    <s v="8 GB"/>
    <s v="i5-7200u"/>
    <s v="2,5-3,1 Ghz"/>
    <s v="Win 10"/>
    <x v="58"/>
    <s v="Pendrive"/>
    <s v="tp firmware"/>
    <s v="P6677"/>
    <s v="E15K"/>
    <s v="Pegatron"/>
    <s v="Nie"/>
    <n v="40056401"/>
    <n v="3"/>
    <m/>
  </r>
  <r>
    <x v="116"/>
    <s v="-"/>
    <n v="30023906"/>
    <s v="-"/>
    <s v="Grafitowy"/>
    <s v="Matowy"/>
    <s v="256 GB SSD;"/>
    <s v="8 GB "/>
    <s v="i5-7200u"/>
    <s v="2,5-3,1 Ghz"/>
    <s v="Win 10"/>
    <x v="48"/>
    <s v="Pendrive"/>
    <s v="Touchpad firmware"/>
    <s v="P7645"/>
    <s v="D17K"/>
    <s v="Pegatron"/>
    <s v="Tak"/>
    <s v="-"/>
    <n v="3"/>
    <m/>
  </r>
  <r>
    <x v="117"/>
    <s v="-"/>
    <n v="30024142"/>
    <s v="-"/>
    <s v="Grafitowy"/>
    <s v="Matowy"/>
    <s v="128 GB SSD; 1 TB HDD"/>
    <s v="8 GB"/>
    <s v="i7-7500U"/>
    <s v="2,7-3,5 Ghz"/>
    <s v="Win 10"/>
    <x v="48"/>
    <s v="Pendrive"/>
    <s v="tp firmware"/>
    <s v="P7645"/>
    <s v="D17K"/>
    <s v="Pegatron"/>
    <s v="Tak"/>
    <n v="40059588"/>
    <n v="3"/>
    <m/>
  </r>
  <r>
    <x v="118"/>
    <s v="-"/>
    <n v="30023907"/>
    <s v="-"/>
    <s v="Srebrny"/>
    <s v="GLARE"/>
    <s v="128 GB SSD;"/>
    <s v="4 GB"/>
    <s v="Celeron N3060"/>
    <s v="1,6-2,48 Ghz"/>
    <s v="Win 10"/>
    <x v="59"/>
    <s v="Pendrive"/>
    <s v="Obowiązkowa instrukcja ME.QA.02.528 /Nowe MB magą się nie włączać dopóki nie poklika się kila razy we włącznik. EC"/>
    <s v="S6219"/>
    <s v="NSBW1x02"/>
    <s v="Tongfang"/>
    <s v="Nie"/>
    <s v="-"/>
    <n v="4"/>
    <m/>
  </r>
  <r>
    <x v="119"/>
    <s v="-"/>
    <n v="30023591"/>
    <s v="-"/>
    <s v="-"/>
    <s v="Matowy"/>
    <s v="64 GB eMMC; 500 GB HDD"/>
    <s v="4 GB"/>
    <s v="celeron N3160"/>
    <s v="1,6-2,24 Ghz"/>
    <s v="Win 10"/>
    <x v="59"/>
    <s v="Pendrive"/>
    <s v="Nowe MB magą się nie włączać dopóki nie poklika się kila razy we włącznik.  EC"/>
    <s v="S6219"/>
    <s v="NSBW1x02"/>
    <s v="Tongfang"/>
    <s v="Nie"/>
    <s v="-"/>
    <n v="4"/>
    <m/>
  </r>
  <r>
    <x v="120"/>
    <s v="-"/>
    <n v="30024143"/>
    <s v="-"/>
    <s v="Srebrny"/>
    <s v="Błyszczący"/>
    <s v=";1 TB HDD"/>
    <s v="8 GB"/>
    <s v="Pentium 4415U"/>
    <s v="2,3 Ghz"/>
    <s v="Win 10"/>
    <x v="49"/>
    <s v="Pendrive"/>
    <s v="Bios spod EFI. Pliki EFI u lidera. (E15K)  Touchpad firmaware"/>
    <s v="E6435"/>
    <s v="E15K"/>
    <s v="Pegatron"/>
    <s v="Nie"/>
    <n v="40059713"/>
    <n v="3"/>
    <m/>
  </r>
  <r>
    <x v="121"/>
    <s v="-"/>
    <n v="30023975"/>
    <s v="-"/>
    <s v="Srebrny"/>
    <s v="Matowy"/>
    <s v=";1 TB HDD"/>
    <s v="8 GB"/>
    <s v="Pentium 4405U"/>
    <s v="2,10 GHz"/>
    <s v="Win 10"/>
    <x v="53"/>
    <s v="Pendrive"/>
    <s v="-"/>
    <s v="E7419"/>
    <s v="D17S"/>
    <s v="Pegatron"/>
    <s v="Tak"/>
    <s v="-"/>
    <n v="3"/>
    <m/>
  </r>
  <r>
    <x v="122"/>
    <s v="-"/>
    <n v="30023689"/>
    <s v="-"/>
    <s v="-"/>
    <s v="Matowy"/>
    <s v="128 GB SSD; 1 TB HDD"/>
    <s v="6 GB"/>
    <s v="i5-7200u"/>
    <s v="2,5-3,1 Ghz"/>
    <s v="Win 10"/>
    <x v="25"/>
    <s v="Pendrive"/>
    <s v="Shipping mode (D17K), Touchpad firmaware."/>
    <s v="E7423"/>
    <s v="D17K"/>
    <s v="Pegatron"/>
    <s v="Tak"/>
    <s v="-"/>
    <n v="3"/>
    <m/>
  </r>
  <r>
    <x v="123"/>
    <s v="-"/>
    <n v="30023908"/>
    <s v="-"/>
    <s v="-"/>
    <s v="Matowy"/>
    <s v="128 GB SSD; 1 TB HDD"/>
    <s v="6 GB"/>
    <s v="i3-6157U"/>
    <s v="2,4 Ghz"/>
    <s v="Win 10"/>
    <x v="18"/>
    <s v="Pendrive"/>
    <s v="Substytut SSD 256 GB"/>
    <s v="E6432"/>
    <s v="E15S"/>
    <s v="Pegatron"/>
    <s v="Nie"/>
    <s v="-"/>
    <n v="3"/>
    <m/>
  </r>
  <r>
    <x v="124"/>
    <s v="-"/>
    <n v="30024277"/>
    <s v="-"/>
    <s v="Czarny"/>
    <s v="Matowy"/>
    <s v="64 GB eMMC;"/>
    <s v="2 GB"/>
    <s v="Celeron N3060"/>
    <s v="1,6-2,48 Ghz"/>
    <s v="Win 10"/>
    <x v="60"/>
    <s v="Pendrive"/>
    <s v="-"/>
    <s v="E2213"/>
    <s v="SF20"/>
    <s v="ECS"/>
    <s v="Nie"/>
    <s v="-"/>
    <n v="4"/>
    <m/>
  </r>
  <r>
    <x v="125"/>
    <s v="-"/>
    <n v="30024047"/>
    <s v="-"/>
    <s v="Brązowy"/>
    <s v="Matowy"/>
    <s v="256 GB SSD;"/>
    <s v="8 GB"/>
    <s v="i3-5005U"/>
    <s v="2 Ghz"/>
    <s v="Win 10"/>
    <x v="61"/>
    <s v="Pendrive"/>
    <s v="-"/>
    <s v="P7637"/>
    <s v="D17D"/>
    <s v="Pegatron"/>
    <s v="Tak"/>
    <s v="-"/>
    <n v="3"/>
    <m/>
  </r>
  <r>
    <x v="126"/>
    <s v="-"/>
    <n v="30023909"/>
    <s v="-"/>
    <s v="Czarny"/>
    <s v="Touch"/>
    <s v="64 GB eMMC;"/>
    <s v="2 GB"/>
    <s v="Atom X5-Z8350"/>
    <s v="1,44 - 1,92 Ghz"/>
    <s v="Win 10"/>
    <x v="62"/>
    <s v="Pendive  64 GB"/>
    <s v="Magnesy w TOP CASE! Update biosu, do najwyższego Build Date."/>
    <s v="E2221T"/>
    <s v="NT16H"/>
    <s v="Emdoor"/>
    <s v="Nie"/>
    <s v="-"/>
    <n v="2"/>
    <m/>
  </r>
  <r>
    <x v="127"/>
    <s v="-"/>
    <n v="30024144"/>
    <s v="-"/>
    <s v="Czarny"/>
    <s v="Touch"/>
    <s v="64 GB eMMC;"/>
    <s v="2 GB"/>
    <s v="Atom x5-z8300"/>
    <s v="1,44-1,84 Ghz"/>
    <s v="Win 10"/>
    <x v="63"/>
    <s v="Pendrive"/>
    <s v="Magnesy w TOP CASE! Update biosu, do najwyższego Build Date."/>
    <s v="E2227T"/>
    <s v=" NT16H"/>
    <s v="Emdoor"/>
    <s v="Nie"/>
    <n v="40058940"/>
    <n v="2"/>
    <m/>
  </r>
  <r>
    <x v="128"/>
    <s v="-"/>
    <n v="30024278"/>
    <s v="-"/>
    <s v="Czarny"/>
    <s v="Touch"/>
    <s v="128 GB SSD;"/>
    <s v="8 GB"/>
    <s v="m5-6Y54"/>
    <s v="1,1-2,7 Ghz"/>
    <s v="Win 10"/>
    <x v="64"/>
    <s v="Pendrive"/>
    <s v="klawiatura doczepiana"/>
    <s v="-"/>
    <s v="-"/>
    <s v="-"/>
    <s v="Nie"/>
    <s v="-"/>
    <n v="4"/>
    <m/>
  </r>
  <r>
    <x v="129"/>
    <s v="-"/>
    <n v="30024042"/>
    <s v="-"/>
    <s v="Biały"/>
    <s v="Błyszczący"/>
    <s v="256 GB SSD;"/>
    <s v="8 GB"/>
    <s v="i3-6006U"/>
    <s v="2 Ghz"/>
    <s v="Win 10"/>
    <x v="65"/>
    <s v="Pendrive"/>
    <s v="EC"/>
    <s v="S6421"/>
    <s v="NSSL1502"/>
    <s v="Tongfang"/>
    <s v="Nie"/>
    <n v="40057145"/>
    <n v="4"/>
    <m/>
  </r>
  <r>
    <x v="130"/>
    <s v="-"/>
    <n v="30024345"/>
    <s v="-"/>
    <s v="Biały"/>
    <s v="Matowy"/>
    <s v="512 GB SSD;"/>
    <s v="8 GB"/>
    <s v="i5-6200U"/>
    <s v="2,3-2,8 GHz"/>
    <s v="Win 10"/>
    <x v="65"/>
    <s v="Pendrive"/>
    <s v="EC"/>
    <s v="S6421"/>
    <s v="NSSL1502"/>
    <s v="Tongfang"/>
    <s v="Nie"/>
    <s v="-"/>
    <n v="4"/>
    <m/>
  </r>
  <r>
    <x v="131"/>
    <s v="-"/>
    <n v="30024290"/>
    <s v="-"/>
    <s v="Srebrny"/>
    <s v="Matowy"/>
    <s v="128 GB SSD; 1,5 TB HDD"/>
    <s v="8 GB"/>
    <s v="i3-7100U"/>
    <s v="2,4 Ghz"/>
    <s v="Win 10"/>
    <x v="66"/>
    <s v="Pendrive"/>
    <s v="tp firmware"/>
    <s v="E6436 "/>
    <s v="E15K"/>
    <s v="Pegatron"/>
    <s v="Nie"/>
    <n v="40059713"/>
    <n v="3"/>
    <m/>
  </r>
  <r>
    <x v="132"/>
    <s v="-"/>
    <n v="30024146"/>
    <s v="-"/>
    <s v="Srebrny"/>
    <s v="Matowy"/>
    <s v="128 GB SSD; 1,5 TB HDD"/>
    <s v="8 GB"/>
    <s v="i7-6567U"/>
    <s v="3,3 Ghz"/>
    <s v="Win 10"/>
    <x v="18"/>
    <s v="Pendrive"/>
    <s v="-"/>
    <s v="E6431"/>
    <s v="E15S"/>
    <s v="Pegatron"/>
    <s v="Nie"/>
    <n v="40056401"/>
    <n v="3"/>
    <m/>
  </r>
  <r>
    <x v="133"/>
    <s v="-"/>
    <n v="30024291"/>
    <s v="-"/>
    <s v="Biały"/>
    <s v="Matowy 1080p"/>
    <s v="128 GB eMMC;"/>
    <s v="4 GB"/>
    <s v="Celeron N3060"/>
    <s v="1,6-2,48 Ghz"/>
    <s v="Win 10"/>
    <x v="67"/>
    <s v="Pendrive"/>
    <s v="Klawiatura NL!!!   Obowiązkowa instrukcja ME.QA.02.528 / EC"/>
    <s v="S6219"/>
    <s v="NSBW1x02"/>
    <s v="Tongfang"/>
    <s v="Nie"/>
    <n v="40063271"/>
    <n v="4"/>
    <m/>
  </r>
  <r>
    <x v="134"/>
    <s v="-"/>
    <n v="30024147"/>
    <s v="-"/>
    <s v="Czarny, gumowany"/>
    <s v="Matowy"/>
    <s v="256 GB SSD; 1 TB HDD"/>
    <s v="8 GB"/>
    <s v="i5-7200u"/>
    <s v="2,5-3,1 Ghz"/>
    <s v="Win 10"/>
    <x v="57"/>
    <s v="Pendrive"/>
    <s v="tp firmware"/>
    <s v="P7647"/>
    <s v="D17K"/>
    <s v="Pegatron"/>
    <s v="Tak"/>
    <n v="40059588"/>
    <n v="3"/>
    <m/>
  </r>
  <r>
    <x v="135"/>
    <s v="-"/>
    <n v="30024148"/>
    <s v="-"/>
    <s v="Srebrny"/>
    <s v="Błyszczący"/>
    <s v="256 GB SSD;"/>
    <s v="8 GB"/>
    <s v="i5-7200u"/>
    <s v="2,5-3,1 Ghz"/>
    <s v="Win 10"/>
    <x v="35"/>
    <s v="Pendrive"/>
    <s v="-"/>
    <s v="S3409"/>
    <s v="F13K"/>
    <s v="Pegatron"/>
    <s v="Tak"/>
    <n v="40063262"/>
    <n v="3"/>
    <m/>
  </r>
  <r>
    <x v="136"/>
    <s v="-"/>
    <n v="30024346"/>
    <s v="-"/>
    <s v="Srebrny"/>
    <s v="Touch"/>
    <s v="64 GB eMMC;"/>
    <s v="2 GB"/>
    <s v="Atom X5-Z8350"/>
    <s v="1,44 - 1,92 Ghz"/>
    <s v="Win 10"/>
    <x v="55"/>
    <s v="Pendrive"/>
    <s v="Magnesy w TOP CASE! Update biosu, do najwyższego Build Date."/>
    <s v="E2221T"/>
    <s v="NT16H"/>
    <s v="Emdoor"/>
    <s v="Nie"/>
    <s v="-"/>
    <n v="2"/>
    <m/>
  </r>
  <r>
    <x v="137"/>
    <s v="-"/>
    <n v="30024292"/>
    <s v="-"/>
    <s v="Czarny"/>
    <s v="Touch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s v="Nie"/>
    <s v="-"/>
    <n v="2"/>
    <m/>
  </r>
  <r>
    <x v="138"/>
    <s v="-"/>
    <s v="30024347, 30024500 "/>
    <s v="-"/>
    <s v="Biały, Srebrny"/>
    <s v="Touch 720p"/>
    <s v="64 GB eMMC;"/>
    <s v="4 GB"/>
    <s v="Atom X5-Z8350"/>
    <s v="1,44 - 1,92 Ghz"/>
    <s v="Win 10"/>
    <x v="55"/>
    <s v="Pendrive"/>
    <s v="Magnesy w TOP CASE! DWA KOLORY, DWA MSN!!!   Update biosu, do najwyższego Build Date."/>
    <s v="E2221T"/>
    <s v="NT16H"/>
    <s v="Emdoor"/>
    <s v="Nie"/>
    <s v="-"/>
    <n v="2"/>
    <m/>
  </r>
  <r>
    <x v="139"/>
    <s v="-"/>
    <n v="30024047"/>
    <s v="-"/>
    <s v="Srebrny"/>
    <s v="Matowy"/>
    <s v=";500 GB HDD"/>
    <s v="4 GB"/>
    <s v="Celeron N3060"/>
    <s v="1,6-2,48 Ghz"/>
    <s v="Win 10"/>
    <x v="67"/>
    <s v="Pendrive64 GB"/>
    <s v="Obowiązkowa instrukcja ME.QA.02.528 / EC"/>
    <s v="S6219"/>
    <s v="NSBW1x02"/>
    <s v="Tongfang"/>
    <s v="Nie"/>
    <s v="-"/>
    <n v="4"/>
    <m/>
  </r>
  <r>
    <x v="140"/>
    <s v="-"/>
    <n v="30023920"/>
    <s v="-"/>
    <s v="Srebrny"/>
    <s v="Matowy"/>
    <s v=";500 GB HDD"/>
    <s v="4 GB"/>
    <s v="Pentium N3710"/>
    <s v="1,6 Ghz"/>
    <s v="Win 10"/>
    <x v="59"/>
    <s v="Pendrive"/>
    <s v="Obowiązkowa instrukcja ME.QA.02.528 /Nowe MB magą się nie włączać dopóki nie poklika się kila razy we włącznik. EC"/>
    <s v="S6219"/>
    <s v="NSBW1x02"/>
    <s v="Tongfang"/>
    <s v="Nie"/>
    <s v="-"/>
    <n v="4"/>
    <m/>
  </r>
  <r>
    <x v="141"/>
    <s v="-"/>
    <n v="30024149"/>
    <s v="-"/>
    <s v="Srebrny"/>
    <s v="Matowy"/>
    <s v=";500 GB HDD"/>
    <s v="4 GB"/>
    <s v="Celeron 3855U"/>
    <s v="1,6 Ghz"/>
    <s v="Win 10"/>
    <x v="53"/>
    <s v="Pendrive"/>
    <s v="SubstytutHDD 1000 GB"/>
    <s v="E7419"/>
    <s v="D17S"/>
    <s v="Pegatron"/>
    <s v="Tak"/>
    <n v="40056401"/>
    <n v="3"/>
    <m/>
  </r>
  <r>
    <x v="142"/>
    <s v="-"/>
    <n v="30024150"/>
    <s v="-"/>
    <s v="Srebrny"/>
    <s v="Błyszczący"/>
    <s v=";1 TB HDD"/>
    <s v="8 GB"/>
    <s v="Pentium 4415U"/>
    <s v="2,3 Ghz"/>
    <s v="Win 10"/>
    <x v="49"/>
    <s v="Pendrive"/>
    <s v="tp firmware"/>
    <s v="E6435"/>
    <s v="E15K"/>
    <s v="Pegatron"/>
    <s v="Nie"/>
    <n v="40059713"/>
    <n v="3"/>
    <m/>
  </r>
  <r>
    <x v="143"/>
    <s v="-"/>
    <n v="30024151"/>
    <s v="-"/>
    <s v="Biały"/>
    <s v="Matowy"/>
    <s v=";1 TB HDD"/>
    <s v="8 GB"/>
    <s v="i3-6006U"/>
    <s v="2 Ghz"/>
    <s v="Win 10"/>
    <x v="65"/>
    <s v="Pendrive"/>
    <s v="EC"/>
    <s v="S6421"/>
    <s v="NSSL1502"/>
    <s v="Tongfang"/>
    <s v="Nie"/>
    <s v="-"/>
    <n v="4"/>
    <m/>
  </r>
  <r>
    <x v="144"/>
    <s v="-"/>
    <n v="30024048"/>
    <s v="-"/>
    <s v="Czarny"/>
    <s v="Matowy"/>
    <s v=";1 TB HDD"/>
    <s v="8 GB"/>
    <s v="Pentium 4405U"/>
    <s v="2,10 GHz"/>
    <s v="Win 10"/>
    <x v="53"/>
    <s v="Pendrive"/>
    <s v="-"/>
    <s v="E7419"/>
    <s v="D17S"/>
    <s v="Pegatron"/>
    <s v="Tak"/>
    <s v="-"/>
    <n v="3"/>
    <m/>
  </r>
  <r>
    <x v="145"/>
    <s v="-"/>
    <n v="30024348"/>
    <s v="-"/>
    <s v="Grafitowy"/>
    <s v="Matowy"/>
    <s v="256 GB SSD; 1 TB HDD"/>
    <s v="8 GB"/>
    <s v="i7-7500U"/>
    <s v="2,7-3,5 Ghz"/>
    <s v="Win 10"/>
    <x v="58"/>
    <s v="Pendrive"/>
    <s v="tp firmware"/>
    <s v="P6677"/>
    <s v="E15K"/>
    <s v="Pegatron"/>
    <s v="Nie"/>
    <s v="-"/>
    <n v="3"/>
    <m/>
  </r>
  <r>
    <x v="146"/>
    <s v="-"/>
    <n v="30024152"/>
    <s v="-"/>
    <s v="Grafitowy"/>
    <s v="Matowy"/>
    <s v="128 GB SSD; 2 TB HDD"/>
    <s v="16 GB"/>
    <s v="i7-7500U"/>
    <s v="2,7-3,5 Ghz"/>
    <s v="Win 10"/>
    <x v="48"/>
    <s v="Pendrive"/>
    <s v="tp firmware"/>
    <s v="P7645"/>
    <s v="D17K"/>
    <s v="Pegatron"/>
    <s v="Tak"/>
    <n v="40056401"/>
    <n v="3"/>
    <m/>
  </r>
  <r>
    <x v="147"/>
    <s v="-"/>
    <n v="30023921"/>
    <s v="-"/>
    <s v="-"/>
    <s v="Matowy"/>
    <s v="128 GB SSD; 1,5 TB HDD"/>
    <s v="4 GB"/>
    <s v="i3-7100U"/>
    <s v="2,4 Ghz"/>
    <s v="Win 10"/>
    <x v="51"/>
    <s v="Pendrive"/>
    <s v="Touchpad firmware"/>
    <s v="E7424"/>
    <s v="D17K"/>
    <s v="Pegatron"/>
    <s v="Tak"/>
    <s v="-"/>
    <n v="3"/>
    <m/>
  </r>
  <r>
    <x v="148"/>
    <s v="-"/>
    <n v="30024049"/>
    <s v="-"/>
    <s v="Srebrny"/>
    <s v="Matowy"/>
    <s v="128 GB SSD; 1 TB HDD"/>
    <s v="6 GB"/>
    <s v="i3-6157U"/>
    <s v="2,4 Ghz"/>
    <s v="Win 10"/>
    <x v="18"/>
    <s v="Pendrive"/>
    <s v="-"/>
    <s v="P6432"/>
    <s v="E15S"/>
    <s v="Pegatron"/>
    <s v="Nie"/>
    <s v="-"/>
    <n v="3"/>
    <m/>
  </r>
  <r>
    <x v="149"/>
    <s v="-"/>
    <n v="30024293"/>
    <s v="-"/>
    <s v="Srebrny"/>
    <s v="Touch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s v="Nie"/>
    <s v="-"/>
    <n v="2"/>
    <m/>
  </r>
  <r>
    <x v="150"/>
    <s v="-"/>
    <s v="30024294  "/>
    <s v="-"/>
    <s v="Czarny"/>
    <s v="Touch 720p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s v="Nie"/>
    <s v="-"/>
    <n v="2"/>
    <m/>
  </r>
  <r>
    <x v="151"/>
    <s v="-"/>
    <n v="30024295"/>
    <s v="-"/>
    <s v="Srebrny"/>
    <s v="Touch"/>
    <s v="32 GB eMMC;"/>
    <s v="2 GB"/>
    <s v="Atom x5-z8300"/>
    <s v="1,44-1,84 Ghz"/>
    <s v="Win 10"/>
    <x v="63"/>
    <s v="Pendrive"/>
    <s v="Magnesy w TOP CASE! Update biosu, do najwyższego Build Date."/>
    <s v="E2227T"/>
    <s v="NT16H"/>
    <s v="Emdoor"/>
    <s v="Nie"/>
    <s v="-"/>
    <n v="2"/>
    <m/>
  </r>
  <r>
    <x v="152"/>
    <s v="-"/>
    <n v="30024296"/>
    <s v="-"/>
    <s v="Srebrny"/>
    <s v="Touch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s v="Nie"/>
    <s v="-"/>
    <n v="2"/>
    <m/>
  </r>
  <r>
    <x v="153"/>
    <s v="-"/>
    <n v="30024430"/>
    <s v="-"/>
    <s v="Czarny"/>
    <s v="Matowy 1080p"/>
    <s v="64 GB eMMC;"/>
    <s v="4 GB"/>
    <s v="Celeron N3060"/>
    <s v="1,6-2,48 Ghz"/>
    <s v="Win 10"/>
    <x v="68"/>
    <s v="Pendrive"/>
    <s v="EC"/>
    <s v="S4219 "/>
    <s v="NSBW1x02"/>
    <s v="Tongfang"/>
    <s v="Nie"/>
    <s v="-"/>
    <n v="4"/>
    <m/>
  </r>
  <r>
    <x v="154"/>
    <s v="-"/>
    <n v="30024349"/>
    <s v="-"/>
    <s v="Srebrny"/>
    <s v="Matowy"/>
    <s v="128 GB SSD; 1,5 TB HDD"/>
    <s v="4 GB"/>
    <s v="i3-7100U"/>
    <s v="2,4 Ghz"/>
    <s v="Win 10"/>
    <x v="69"/>
    <s v="Pendrive"/>
    <s v="tp firmware"/>
    <s v="E7424"/>
    <s v="D17K"/>
    <s v="Pegatron"/>
    <s v="Tak"/>
    <s v="-"/>
    <n v="3"/>
    <m/>
  </r>
  <r>
    <x v="155"/>
    <s v="-"/>
    <n v="30024350"/>
    <s v="-"/>
    <s v="Srebrny"/>
    <s v="Touch"/>
    <s v="64 GB eMMC;"/>
    <s v="4 GB"/>
    <s v="Celeron N3450"/>
    <s v="1,1-2,2 Ghz"/>
    <s v="Win 10"/>
    <x v="70"/>
    <s v="Pendrive"/>
    <s v="-"/>
    <s v="E3213"/>
    <s v="NT13A"/>
    <s v="Emdoor"/>
    <s v="Tak"/>
    <s v="-"/>
    <s v="bez"/>
    <m/>
  </r>
  <r>
    <x v="156"/>
    <s v="-"/>
    <n v="30024297"/>
    <s v="-"/>
    <s v="Srebrny"/>
    <s v="Touch"/>
    <s v="64 GB eMMC;"/>
    <s v="4 GB"/>
    <s v="Pentium N4200"/>
    <s v="1,1-2,5 Ghz"/>
    <s v="Win 10"/>
    <x v="70"/>
    <s v="Pendrive"/>
    <s v="-"/>
    <s v="E3215"/>
    <s v="NT13A"/>
    <s v="Emdoor"/>
    <s v="Tak"/>
    <s v="-"/>
    <s v="bez"/>
    <m/>
  </r>
  <r>
    <x v="157"/>
    <s v="-"/>
    <n v="30024153"/>
    <s v="-"/>
    <s v="Grafitowy"/>
    <s v="Matowy"/>
    <s v=";1 TB HDD"/>
    <s v="6 GB"/>
    <s v="i3-7167U "/>
    <s v="2,8 Ghz"/>
    <s v="Win 10"/>
    <x v="71"/>
    <s v="Pendrive"/>
    <s v="tp firmware"/>
    <s v="P6402 "/>
    <s v="E15K"/>
    <s v="Pegatron"/>
    <s v="Nie"/>
    <n v="40061308"/>
    <n v="3"/>
    <m/>
  </r>
  <r>
    <x v="158"/>
    <s v="-"/>
    <n v="30024351"/>
    <s v="-"/>
    <s v="Srebrny"/>
    <s v="Matowy"/>
    <s v=";500 GB HDD"/>
    <s v="4 GB"/>
    <s v="Celeron N3060"/>
    <s v="1,6-2,48 Ghz"/>
    <s v="Win 10"/>
    <x v="59"/>
    <s v="Pendrive"/>
    <s v="Obowiązkowa instrukcja ME.QA.02.528 / EC"/>
    <s v="S6219"/>
    <s v="NSBW1x02"/>
    <s v="Tongfang"/>
    <s v="Nie"/>
    <n v="40063271"/>
    <n v="4"/>
    <m/>
  </r>
  <r>
    <x v="159"/>
    <s v="-"/>
    <n v="30024352"/>
    <s v="-"/>
    <s v="Srebrny"/>
    <s v="Błyszczący 720p"/>
    <s v=";1 TB HDD"/>
    <s v="8 GB"/>
    <s v="Pentium 4405U"/>
    <s v="2,10 GHz"/>
    <s v="Win 10"/>
    <x v="72"/>
    <s v="Pendrive"/>
    <s v="-"/>
    <s v="E6429"/>
    <s v="E15S"/>
    <s v="Pegatron"/>
    <s v="Nie"/>
    <s v="-"/>
    <n v="3"/>
    <m/>
  </r>
  <r>
    <x v="160"/>
    <s v="-"/>
    <n v="30024353"/>
    <s v="-"/>
    <s v="Srebrny"/>
    <s v="Matowy"/>
    <s v=";1 TB HDD"/>
    <s v="8 GB"/>
    <s v="Pentium 4415U"/>
    <s v="2,3 Ghz"/>
    <s v="Win 10"/>
    <x v="51"/>
    <s v="Pendrive"/>
    <s v="tp firmware"/>
    <s v="E7423"/>
    <s v="D17K"/>
    <s v="Pegatron"/>
    <s v="Tak"/>
    <s v="-"/>
    <n v="3"/>
    <m/>
  </r>
  <r>
    <x v="161"/>
    <s v="-"/>
    <n v="30024298"/>
    <s v="-"/>
    <s v="Srebrny"/>
    <s v="Matowy"/>
    <s v=";500 GB HDD"/>
    <s v="4 GB"/>
    <s v="Celeron 3855U"/>
    <s v="1,6 Ghz"/>
    <s v="Win 10"/>
    <x v="73"/>
    <s v="Pendrive"/>
    <s v="-"/>
    <s v="E7419"/>
    <s v="D17S"/>
    <s v="Pegatron"/>
    <s v="Tak"/>
    <s v="-"/>
    <n v="3"/>
    <m/>
  </r>
  <r>
    <x v="162"/>
    <s v="-"/>
    <n v="30024354"/>
    <s v="-"/>
    <s v="Brązowy"/>
    <s v="Matowy 1080p"/>
    <s v=";1 TB HDD"/>
    <s v="8 GB"/>
    <s v=" i3-5005U"/>
    <s v="2 Ghz"/>
    <s v="Win 10"/>
    <x v="74"/>
    <s v="Pendrive"/>
    <s v="sponge/ poron"/>
    <s v="E6415"/>
    <s v="D15D"/>
    <s v="Pegatron"/>
    <s v="Tak"/>
    <s v="-"/>
    <n v="3"/>
    <m/>
  </r>
  <r>
    <x v="163"/>
    <s v="-"/>
    <n v="30023976"/>
    <s v="-"/>
    <s v="Grafitowy"/>
    <s v="Matowy"/>
    <s v=";500 GB HDD"/>
    <s v="4 GB"/>
    <s v="i3-7167U"/>
    <s v="2,8 Ghz"/>
    <s v="Win 10"/>
    <x v="75"/>
    <s v="Pendrive"/>
    <s v="tp firmware, img aldi"/>
    <s v="P7402"/>
    <s v="D17K"/>
    <s v="Pegatron"/>
    <s v="Tak"/>
    <s v="-"/>
    <n v="3"/>
    <m/>
  </r>
  <r>
    <x v="164"/>
    <s v="-"/>
    <n v="30024154"/>
    <s v="-"/>
    <s v="Srebrny"/>
    <s v="Touch"/>
    <s v="64 GB eMMC;"/>
    <s v="4 GB"/>
    <s v="Pentium N4200"/>
    <s v="1,1-2,5 Ghz"/>
    <s v="Win 10"/>
    <x v="76"/>
    <s v="Pendrive"/>
    <s v="-"/>
    <s v="E3216"/>
    <s v="NT13A"/>
    <s v="Emdoor"/>
    <s v="Tak"/>
    <s v="-"/>
    <s v="bez"/>
    <m/>
  </r>
  <r>
    <x v="165"/>
    <s v="-"/>
    <n v="30024419"/>
    <s v="-"/>
    <s v="Srebrny"/>
    <s v="Touch 1080p"/>
    <s v="64 GB eMMC;"/>
    <s v="4 GB"/>
    <s v="Atom x5-z8300"/>
    <s v="1,44-1,84 Ghz"/>
    <s v="Win 10"/>
    <x v="39"/>
    <s v="Pendrive"/>
    <s v="Magnesy w TOP CASE! Update biosu, do najwyższego Build Date."/>
    <s v="E2227T"/>
    <s v="NT16H"/>
    <s v="Emdoor"/>
    <s v="Nie"/>
    <s v="-"/>
    <n v="2"/>
    <m/>
  </r>
  <r>
    <x v="166"/>
    <s v="-"/>
    <n v="30024418"/>
    <s v="-"/>
    <s v="Srebrny"/>
    <s v="Matowy 1080p"/>
    <s v="128 GB SSD; 1,5 TB HDD"/>
    <s v="6 GB"/>
    <s v="i3-6100U"/>
    <s v="2,3 Ghz"/>
    <s v="Win 10"/>
    <x v="77"/>
    <s v="Pendrive"/>
    <s v="-"/>
    <s v="E6430"/>
    <s v="E15S"/>
    <s v="Pegatron"/>
    <s v="Nie"/>
    <s v="-"/>
    <n v="3"/>
    <m/>
  </r>
  <r>
    <x v="167"/>
    <s v="-"/>
    <n v="30024417"/>
    <s v="-"/>
    <s v="Srebrny"/>
    <s v="Matowy 1080p"/>
    <s v="128 GB eMMC; 1 TB HDD"/>
    <s v="4 GB"/>
    <s v="i5-7200u"/>
    <s v="2,5-3,1 Ghz"/>
    <s v="Win 10"/>
    <x v="78"/>
    <s v="Pendrive"/>
    <s v="tp firmware"/>
    <s v="E6436 "/>
    <s v="E15K"/>
    <s v="Pegatron"/>
    <s v="Nie"/>
    <s v="-"/>
    <n v="3"/>
    <m/>
  </r>
  <r>
    <x v="168"/>
    <s v="-"/>
    <n v="30024416"/>
    <s v="-"/>
    <s v="Srebrny"/>
    <s v="Touch 1080p"/>
    <s v="64 GB eMMC;"/>
    <s v="4 GB"/>
    <s v="Atom X5-Z8350"/>
    <s v="1,44 - 1,92 Ghz"/>
    <s v="Win 10"/>
    <x v="63"/>
    <s v="Pendrive"/>
    <s v="Magnesy w TOP CASE! Update biosu, do najwyższego Build Date. Zapieczętować można tylko 4 razy, potem potrzeba zrobić recovery."/>
    <s v="E2228T"/>
    <s v="NT16H"/>
    <s v="Emdoor"/>
    <s v="Nie"/>
    <s v="-"/>
    <n v="2"/>
    <m/>
  </r>
  <r>
    <x v="169"/>
    <s v="-"/>
    <n v="30024415"/>
    <s v="-"/>
    <s v="Srebrny"/>
    <s v="Touch 1080p"/>
    <s v="64 GB eMMC;"/>
    <s v="4 GB"/>
    <s v="Pentium N4200"/>
    <s v="1,1-2,5 Ghz"/>
    <s v="Win 10"/>
    <x v="79"/>
    <s v="Pendrive"/>
    <s v="-"/>
    <s v="E3216"/>
    <s v="NT13A"/>
    <s v="Emdoor"/>
    <s v="Tak"/>
    <s v="-"/>
    <s v="bez"/>
    <m/>
  </r>
  <r>
    <x v="170"/>
    <s v="-"/>
    <n v="30024414"/>
    <s v="-"/>
    <s v="Srebrny"/>
    <s v="Touch 1080p"/>
    <s v="32 GB eMMC;"/>
    <s v="2 GB"/>
    <s v="Atom X5-Z8350"/>
    <s v="1,44 - 1,92 Ghz"/>
    <s v="Win 10"/>
    <x v="63"/>
    <s v="Pendrive"/>
    <s v="Magnesy w TOP CASE! Update biosu, do najwyższego Build Date. Zapieczętować można tylko 4 razy, potem potrzeba zrobić recovery."/>
    <s v="E2228T"/>
    <s v="NT16H"/>
    <s v="Emdoor"/>
    <s v="Nie"/>
    <s v="-"/>
    <n v="2"/>
    <m/>
  </r>
  <r>
    <x v="171"/>
    <s v="-"/>
    <n v="30024413"/>
    <s v="-"/>
    <s v="Srebrny"/>
    <s v="Matowy 1080p"/>
    <s v="128 GB SSD; 500 GB HDD"/>
    <s v="4 GB"/>
    <s v="i3-7100U"/>
    <s v="2,4 Ghz"/>
    <s v="Win 10"/>
    <x v="80"/>
    <s v="Pendrive"/>
    <s v="tp firmware"/>
    <s v="E7424"/>
    <s v="D17K"/>
    <s v="Pegatron"/>
    <s v="Tak"/>
    <s v="-"/>
    <n v="3"/>
    <m/>
  </r>
  <r>
    <x v="172"/>
    <s v="-"/>
    <n v="30024412"/>
    <s v="-"/>
    <s v="Srebrny"/>
    <s v="Touch 1080p"/>
    <s v="64 GB eMMC;"/>
    <s v="4 GB"/>
    <s v="Celeron N3450"/>
    <s v="1,1-2,2 Ghz"/>
    <s v="Win 10"/>
    <x v="76"/>
    <s v="Pendrive"/>
    <s v="-"/>
    <s v="E3214"/>
    <s v="NT13A"/>
    <s v="Emdoor"/>
    <s v="Tak"/>
    <s v="-"/>
    <s v="bez"/>
    <m/>
  </r>
  <r>
    <x v="173"/>
    <s v="-"/>
    <n v="30020798"/>
    <s v="-"/>
    <s v="-"/>
    <s v="Touch / NON GLARE"/>
    <s v=";500 GB HDD"/>
    <s v="2 GB"/>
    <s v="AMD Temash A4-1200 "/>
    <s v="1,00 GHz"/>
    <s v="Win 8.1"/>
    <x v="81"/>
    <s v="HDD"/>
    <s v="brak licencji office"/>
    <s v="E1317T"/>
    <s v="H90T"/>
    <s v="Pegatron"/>
    <s v="Nie"/>
    <s v="-"/>
    <n v="3"/>
    <m/>
  </r>
  <r>
    <x v="174"/>
    <s v="-"/>
    <n v="30019411"/>
    <s v="-"/>
    <s v="-"/>
    <s v="Touch / NON GLARE"/>
    <s v=";500 GB HDD"/>
    <s v="2 GB"/>
    <s v="AMD Temash A4-1200 "/>
    <s v="1,00 GHz"/>
    <s v="Win 8.1"/>
    <x v="81"/>
    <s v="HDD"/>
    <s v="brak licencji office"/>
    <s v="E1317T"/>
    <s v="H90T"/>
    <s v="Pegatron"/>
    <s v="Nie"/>
    <s v="-"/>
    <n v="3"/>
    <m/>
  </r>
  <r>
    <x v="175"/>
    <s v="-"/>
    <n v="30019127"/>
    <s v="-"/>
    <s v="-"/>
    <s v="Touch / NON GLARE"/>
    <s v="64 GB eMMC; 500 GB HDD"/>
    <s v="2 GB"/>
    <s v="Intel Celeron  N2910"/>
    <s v="1,60 GHz"/>
    <s v="Win 8.1"/>
    <x v="82"/>
    <s v="HDD"/>
    <s v="test PU9"/>
    <s v="-"/>
    <s v="-"/>
    <s v="-"/>
    <s v="Nie"/>
    <s v="-"/>
    <s v="-"/>
    <m/>
  </r>
  <r>
    <x v="176"/>
    <s v="-"/>
    <n v="30019128"/>
    <s v="-"/>
    <s v="-"/>
    <s v="Touch / NON GLARE"/>
    <s v="64 GB eMMC; 500 GB HDD"/>
    <s v="2 GB"/>
    <s v="Intel Celeron  N2910"/>
    <s v="1,60 GHz"/>
    <s v="Win 8.1"/>
    <x v="82"/>
    <s v="HDD"/>
    <s v="test PU9"/>
    <s v="-"/>
    <s v="-"/>
    <s v="-"/>
    <s v="Nie"/>
    <s v="-"/>
    <s v="-"/>
    <m/>
  </r>
  <r>
    <x v="177"/>
    <s v="-"/>
    <n v="30017761"/>
    <s v="-"/>
    <s v="-"/>
    <s v="Touch / NON GLARE"/>
    <s v="64 GB eMMC; 500 GB HDD"/>
    <s v="4 GB"/>
    <s v="Intel Celeron  N2910"/>
    <s v="1,60 GHz"/>
    <s v="Win 8.1"/>
    <x v="82"/>
    <s v="HDD"/>
    <s v="test PU9"/>
    <s v="-"/>
    <s v="-"/>
    <s v="-"/>
    <s v="Nie"/>
    <s v="-"/>
    <s v="-"/>
    <m/>
  </r>
  <r>
    <x v="178"/>
    <s v="-"/>
    <n v="30019129"/>
    <s v="-"/>
    <s v="-"/>
    <s v="Touch / NON GLARE"/>
    <s v="64 GB eMMC; 500 GB HDD"/>
    <s v="4 GB"/>
    <s v="Intel Celeron  N2910"/>
    <s v="1,60 GHz"/>
    <s v="Win 8.1"/>
    <x v="82"/>
    <s v="HDD"/>
    <s v="test PU9"/>
    <s v="-"/>
    <s v="-"/>
    <s v="-"/>
    <s v="Nie"/>
    <s v="-"/>
    <s v="-"/>
    <m/>
  </r>
  <r>
    <x v="179"/>
    <s v="-"/>
    <n v="30019107"/>
    <s v="-"/>
    <s v="-"/>
    <s v="Matowy"/>
    <s v=";1 TB HDD"/>
    <s v="4 GB"/>
    <s v="Celeron 1005M"/>
    <s v="1,90 GHz"/>
    <s v="Win 8"/>
    <x v="83"/>
    <s v="HDD"/>
    <s v="-"/>
    <s v="E6237"/>
    <s v="C15A"/>
    <s v="Pegatron"/>
    <s v="Nie"/>
    <s v="-"/>
    <n v="3"/>
    <m/>
  </r>
  <r>
    <x v="180"/>
    <s v="-"/>
    <n v="30019419"/>
    <s v="-"/>
    <s v="-"/>
    <s v="Touch / NON GLARE"/>
    <s v="32 GB eMMC; 500 GB HDD"/>
    <s v="4 GB"/>
    <s v="Intel Celeron  N2920"/>
    <s v="1,86 GHz"/>
    <s v="Win 8.1"/>
    <x v="84"/>
    <s v="HDD"/>
    <s v="test PU9"/>
    <s v="-"/>
    <s v="-"/>
    <s v="-"/>
    <s v="Nie"/>
    <s v="-"/>
    <s v="-"/>
    <m/>
  </r>
  <r>
    <x v="181"/>
    <s v="-"/>
    <n v="30019160"/>
    <s v="-"/>
    <s v="-"/>
    <s v="Touch / NON GLARE"/>
    <s v="64 GB eMMC; 500 GB HDD"/>
    <s v="4 GB"/>
    <s v="Intel Celeron  N2920"/>
    <s v="1,86 GHz"/>
    <s v="Win 8.1"/>
    <x v="85"/>
    <s v="HDD / RECOVER"/>
    <s v="test PU9"/>
    <s v="-"/>
    <s v="-"/>
    <s v="-"/>
    <s v="Nie"/>
    <s v="-"/>
    <s v="-"/>
    <m/>
  </r>
  <r>
    <x v="182"/>
    <s v="-"/>
    <n v="30018288"/>
    <s v="-"/>
    <s v="-"/>
    <s v="Touch / NON GLARE"/>
    <s v="64 GB eMMc; 1 TB HDD"/>
    <s v="4 GB"/>
    <s v="Intel Celeron  N2920"/>
    <s v="1,86 GHz"/>
    <s v="Win 8.1"/>
    <x v="85"/>
    <s v="HDD / RECOVER"/>
    <s v="test PU9"/>
    <s v="-"/>
    <s v="-"/>
    <s v="-"/>
    <s v="Nie"/>
    <s v="-"/>
    <s v="-"/>
    <m/>
  </r>
  <r>
    <x v="183"/>
    <s v="-"/>
    <n v="30018287"/>
    <s v="-"/>
    <s v="-"/>
    <s v="Touch / NON GLARE"/>
    <s v=";500 GB HDD"/>
    <s v="4 GB"/>
    <s v="AMD Temash A4-1200 "/>
    <s v="1,00 GHz"/>
    <s v="Win 8.1"/>
    <x v="81"/>
    <s v="HDD"/>
    <s v="Licencja Office 8.1"/>
    <s v="E1317T"/>
    <s v=" H90T"/>
    <s v="Pegatron"/>
    <s v="Nie"/>
    <s v="-"/>
    <n v="3"/>
    <m/>
  </r>
  <r>
    <x v="184"/>
    <s v="-"/>
    <n v="30019161"/>
    <s v="-"/>
    <s v="-"/>
    <s v="Matowy"/>
    <s v="64 GB eMMC; 500 GB HDD"/>
    <s v="4 GB"/>
    <s v="Intel Celeron  N2930"/>
    <s v="1,83 Ghz"/>
    <s v="Win 8.1"/>
    <x v="86"/>
    <s v=" 3.0 HDD (puszczane z kieszeni 3.0 podłaczonej do tabletu)"/>
    <s v="BACK COVER MEDION!!!"/>
    <s v="S6213T"/>
    <s v="T15M"/>
    <s v="Pegatron"/>
    <s v="Nie"/>
    <s v="-"/>
    <n v="3"/>
    <m/>
  </r>
  <r>
    <x v="185"/>
    <s v="-"/>
    <n v="30018970"/>
    <s v="-"/>
    <s v="-"/>
    <s v="Matowy"/>
    <s v="64 GB eMMC; 500 GB HDD"/>
    <s v="4 GB"/>
    <s v="Intel Pentium  N3530"/>
    <s v="2,16 GHz"/>
    <s v="Win 8.1"/>
    <x v="86"/>
    <s v=" 3.0 HDD (puszczane z kieszeni 3.0 podłaczonej do tabletu)"/>
    <s v="BACK COVER MEDION!!!"/>
    <s v="S6213T"/>
    <s v="T15M"/>
    <s v="Pegatron"/>
    <s v="Tak"/>
    <s v="-"/>
    <n v="1"/>
    <m/>
  </r>
  <r>
    <x v="186"/>
    <s v="-"/>
    <n v="30022634"/>
    <s v="-"/>
    <s v="-"/>
    <s v="Touch / NON GLARE"/>
    <s v="64 GB eMMC; 500 GB HDD"/>
    <s v="4 GB"/>
    <s v="Intel Celeron  N2930"/>
    <s v="1,83 GHZ"/>
    <s v="Win 8.1"/>
    <x v="82"/>
    <s v="HDD"/>
    <s v="test PU9"/>
    <s v="-"/>
    <s v="-"/>
    <s v="-"/>
    <s v="Nie"/>
    <s v="-"/>
    <s v="-"/>
    <m/>
  </r>
  <r>
    <x v="187"/>
    <s v="-"/>
    <n v="30019480"/>
    <s v="-"/>
    <s v="-"/>
    <s v="Matowy"/>
    <s v=";500 GB HDD"/>
    <s v="2 GB"/>
    <s v="Intel Celeron  N2830"/>
    <s v="2,16 GHz"/>
    <s v="Win 8.1"/>
    <x v="87"/>
    <s v="HDD"/>
    <s v="-"/>
    <s v="E6239"/>
    <s v="C15M"/>
    <s v="Pegatron"/>
    <s v="Nie"/>
    <s v="-"/>
    <n v="3"/>
    <m/>
  </r>
  <r>
    <x v="188"/>
    <s v="-"/>
    <n v="30019420"/>
    <s v="-"/>
    <s v="-"/>
    <s v="Touch / NON GLARE"/>
    <s v="128 GB eMMC; 1 TB HDD"/>
    <s v="8 GB"/>
    <s v="Intel CoreTM i5 - 4210U "/>
    <s v="1,70 GHz"/>
    <s v="Win 8.1"/>
    <x v="88"/>
    <s v="Pendrive"/>
    <s v="BACK COVER MEDION!!!"/>
    <s v="S6413T"/>
    <s v="T15B"/>
    <s v="Pegatron"/>
    <s v="Tak"/>
    <s v="-"/>
    <n v="1"/>
    <m/>
  </r>
  <r>
    <x v="189"/>
    <s v="-"/>
    <n v="30020722"/>
    <s v="-"/>
    <s v="-"/>
    <s v="Matowy"/>
    <s v=";500 GB HDD"/>
    <s v="4 GB"/>
    <s v="Intel Celeron  N2830"/>
    <s v="2,16 GHz"/>
    <s v="Win 8.1"/>
    <x v="87"/>
    <s v="HDD"/>
    <s v="-"/>
    <s v="E6239"/>
    <s v="C15M"/>
    <s v="Pegatron"/>
    <s v="Nie"/>
    <s v="-"/>
    <n v="3"/>
    <m/>
  </r>
  <r>
    <x v="190"/>
    <s v="-"/>
    <n v="30019162"/>
    <s v="-"/>
    <s v="-"/>
    <s v="Touch / NON GLARE"/>
    <s v="32 GB eMMC;"/>
    <s v="2 GB"/>
    <s v="Intel Celeron  N2930"/>
    <s v="1,83 GHZ"/>
    <s v="Win 8.1"/>
    <x v="89"/>
    <s v="HDD"/>
    <s v="test PU9"/>
    <s v="-"/>
    <s v="-"/>
    <s v="-"/>
    <s v="Nie"/>
    <s v="-"/>
    <s v="-"/>
    <m/>
  </r>
  <r>
    <x v="191"/>
    <s v="-"/>
    <n v="30019163"/>
    <s v="-"/>
    <s v="-"/>
    <s v="Touch / NON GLARE"/>
    <s v="64 GB eMMC;"/>
    <s v="4 GB"/>
    <s v="Intel Pentium  N3530"/>
    <s v="2,16 GHz"/>
    <s v="Win 8.1"/>
    <x v="90"/>
    <s v="Pendrive/Recovery puszczane z ustawien systemu"/>
    <s v="test PU9"/>
    <s v="-"/>
    <s v="-"/>
    <s v="-"/>
    <s v="Nie"/>
    <s v="-"/>
    <s v="-"/>
    <m/>
  </r>
  <r>
    <x v="192"/>
    <s v="-"/>
    <n v="30018857"/>
    <s v="-"/>
    <s v="-"/>
    <s v="Touch / NON GLARE"/>
    <s v=";500 GB SSHD"/>
    <s v="4 GB"/>
    <s v="Intel Celeron  N2807"/>
    <s v="1,58 GHz"/>
    <s v="Win 8.1"/>
    <x v="91"/>
    <s v="HDD"/>
    <s v="brak licencji office"/>
    <s v="E1231T"/>
    <s v="Skoda"/>
    <s v="Inventec"/>
    <s v="Nie"/>
    <s v="-"/>
    <n v="1"/>
    <m/>
  </r>
  <r>
    <x v="193"/>
    <s v="-"/>
    <n v="30019716"/>
    <s v="-"/>
    <s v="-"/>
    <s v="Touch / NON GLARE"/>
    <s v="64 GB eMMC; 500 GB HDD"/>
    <s v="4 GB"/>
    <s v="Intel Celeron  N2930"/>
    <s v="1,83 Ghz"/>
    <s v="Win 8.1"/>
    <x v="92"/>
    <s v="HDD"/>
    <s v="BACK COVER MEDION!!!"/>
    <s v="S6213T"/>
    <s v="T15M"/>
    <s v="Pegatron"/>
    <s v="Tak"/>
    <s v="-"/>
    <n v="1"/>
    <m/>
  </r>
  <r>
    <x v="194"/>
    <s v="-"/>
    <n v="30019987"/>
    <s v="-"/>
    <s v="-"/>
    <s v="Touch / NON GLARE"/>
    <s v="64 GB eMMc; 1 TB HDD"/>
    <s v="4 GB"/>
    <s v="Intel CoreTM i5 - 4210U "/>
    <s v="1,70 GHz"/>
    <s v="Win 8.1"/>
    <x v="88"/>
    <s v="Pendrive"/>
    <s v="BACK COVER MEDION!!!"/>
    <s v="S6413T"/>
    <s v="T15B"/>
    <s v="Pegatron"/>
    <s v="Tak"/>
    <s v="-"/>
    <n v="1"/>
    <m/>
  </r>
  <r>
    <x v="195"/>
    <s v="-"/>
    <n v="30021120"/>
    <s v="-"/>
    <s v="-"/>
    <s v="Matowy"/>
    <s v=";500 GB HDD"/>
    <s v="4 GB"/>
    <s v="Intel Celeron  N2930"/>
    <s v="1,83 Ghz"/>
    <s v="Win 8.1"/>
    <x v="93"/>
    <s v="HDD"/>
    <s v="-"/>
    <s v="E6239"/>
    <s v="C15M"/>
    <s v="Pegatron"/>
    <s v="Nie"/>
    <s v="-"/>
    <n v="3"/>
    <m/>
  </r>
  <r>
    <x v="196"/>
    <s v="-"/>
    <n v="30020733"/>
    <s v="-"/>
    <s v="-"/>
    <s v="Matowy"/>
    <s v=";1 TB HDD"/>
    <s v="8 GB"/>
    <s v="Intel Celeron  N2930"/>
    <s v="1,83 Ghz"/>
    <s v="Win 8.1"/>
    <x v="94"/>
    <s v="HDD"/>
    <s v="-"/>
    <s v="E6239"/>
    <s v="C15M"/>
    <s v="Pegatron"/>
    <s v="Nie"/>
    <s v="-"/>
    <n v="3"/>
    <m/>
  </r>
  <r>
    <x v="197"/>
    <s v="-"/>
    <n v="30019334"/>
    <s v="-"/>
    <s v="-"/>
    <s v="Touch / NON GLARE"/>
    <s v=";500 GB HDD"/>
    <s v="2 GB"/>
    <s v="AMD Temash A4-1200 "/>
    <s v="1,00 GHz"/>
    <s v="Win 8.1"/>
    <x v="81"/>
    <s v="HDD"/>
    <s v="Licencja Office 8.1"/>
    <s v="E1317T"/>
    <s v="H90T"/>
    <s v="Pegatron"/>
    <s v="Nie"/>
    <s v="-"/>
    <n v="3"/>
    <m/>
  </r>
  <r>
    <x v="198"/>
    <s v="-"/>
    <n v="30020396"/>
    <s v="-"/>
    <s v="-"/>
    <s v="Touch / GLARE"/>
    <s v="32 GB eMMC; 500 GB HDD"/>
    <s v="2 GB"/>
    <s v="Celeron N2940"/>
    <s v="1,83 -2,25 GHz"/>
    <s v="Win 8.1"/>
    <x v="95"/>
    <s v="Pendrive"/>
    <s v="Test akku, Fimware SATA dock"/>
    <s v="P2213T"/>
    <s v="T11M"/>
    <s v="Pegatron"/>
    <s v="Tak"/>
    <s v="-"/>
    <n v="1"/>
    <m/>
  </r>
  <r>
    <x v="199"/>
    <s v="-"/>
    <n v="30019988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3T"/>
    <s v="T11M"/>
    <s v="Pegatron"/>
    <s v="Tak"/>
    <s v="-"/>
    <n v="1"/>
    <m/>
  </r>
  <r>
    <x v="200"/>
    <s v="-"/>
    <n v="30020799"/>
    <s v="-"/>
    <s v="-"/>
    <s v="Touch / NON GLARE"/>
    <s v="64 GB eMMc; 1 TB HDD"/>
    <s v="4 GB"/>
    <s v="Celeron N2940"/>
    <s v="1,83 -2,25 GHz"/>
    <s v="Win 8.1"/>
    <x v="97"/>
    <s v="HDD"/>
    <s v="Test akku / Fimware SATA dock /  Recovery z ustawien systemu"/>
    <s v=" P2213T"/>
    <s v="T11M"/>
    <s v="Pegatron"/>
    <s v="Tak"/>
    <s v="-"/>
    <n v="1"/>
    <m/>
  </r>
  <r>
    <x v="201"/>
    <s v="-"/>
    <n v="30019369"/>
    <s v="-"/>
    <s v="-"/>
    <s v="Touch / NON GLARE"/>
    <s v="64 GB eMMc; 1 TB HDD"/>
    <s v="4 GB"/>
    <s v="Intel Pentium  N3540"/>
    <s v="2,16,GHz"/>
    <s v="Win 8.1"/>
    <x v="97"/>
    <s v="HDD"/>
    <s v="Test akku, Fimware SATA dock"/>
    <s v="P2213T"/>
    <s v="T11M"/>
    <s v="Pegatron"/>
    <s v="Tak"/>
    <s v="-"/>
    <n v="1"/>
    <m/>
  </r>
  <r>
    <x v="202"/>
    <s v="-"/>
    <n v="30019368"/>
    <s v="-"/>
    <s v="-"/>
    <s v="Touch / NON GLARE"/>
    <s v="32 GB eMMC; 500 GB HDD"/>
    <s v="4 GB"/>
    <s v="Intel Celeron  N2920"/>
    <s v="1,86 GHz"/>
    <s v="Win 8.1"/>
    <x v="84"/>
    <s v="HDD"/>
    <s v="S/N Scan"/>
    <s v="P2211T"/>
    <s v="TZ20"/>
    <s v="ECS"/>
    <s v="Nie"/>
    <s v="-"/>
    <n v="4"/>
    <m/>
  </r>
  <r>
    <x v="203"/>
    <s v="-"/>
    <n v="30020683"/>
    <s v="-"/>
    <s v="-"/>
    <s v="Matowy"/>
    <s v=";500 GB HDD"/>
    <s v="4 GB"/>
    <s v="Celeron N2940"/>
    <s v="1,83 -2,25 GHz"/>
    <s v="Win 10"/>
    <x v="98"/>
    <s v="Pendrive"/>
    <s v="pisać pełny numer modelu, UWAGA 60019"/>
    <s v="E6239"/>
    <s v="C15M"/>
    <s v="Pegatron"/>
    <s v="Nie"/>
    <s v="-"/>
    <n v="3"/>
    <m/>
  </r>
  <r>
    <x v="204"/>
    <s v="-"/>
    <n v="30016288"/>
    <s v="-"/>
    <s v="-"/>
    <s v="Matowy"/>
    <s v="32 GB eMMC; 500 GB HDD"/>
    <s v="4 GB"/>
    <s v="Intel CoreTM i5 3317U "/>
    <s v="1,70 GHz"/>
    <s v="Win 8"/>
    <x v="99"/>
    <s v="HDD, SSD skasować"/>
    <s v="zostawic pusty SLOT DVD/AKKU!!"/>
    <s v="S4214"/>
    <s v="B34YA"/>
    <s v="Pegatron"/>
    <s v="Nie"/>
    <s v="-"/>
    <n v="3"/>
    <m/>
  </r>
  <r>
    <x v="205"/>
    <s v="-"/>
    <n v="30015476"/>
    <s v="-"/>
    <s v="-"/>
    <s v="Matowy"/>
    <s v=";1 TB HDD"/>
    <s v="4 GB"/>
    <s v="Intel CoreTM i3 3110M "/>
    <s v="2,40 GHz"/>
    <s v="Win 8"/>
    <x v="100"/>
    <s v="HDD"/>
    <s v="Chip Scan"/>
    <s v="E6232"/>
    <s v="M52U1"/>
    <s v="Wistron"/>
    <s v="Nie"/>
    <s v="-"/>
    <n v="3"/>
    <m/>
  </r>
  <r>
    <x v="206"/>
    <s v="-"/>
    <n v="30015734"/>
    <s v="-"/>
    <s v="-"/>
    <s v="Matowy"/>
    <s v=";1 TB HDD"/>
    <s v="8 GB"/>
    <s v="Intel CoreTM i5 - 3210 M "/>
    <s v="2,50 GHz"/>
    <s v="Win 8"/>
    <x v="101"/>
    <s v="HDD"/>
    <s v="-"/>
    <s v="P7816"/>
    <s v="A17FG"/>
    <s v="Pegatron"/>
    <s v="Nie"/>
    <s v="-"/>
    <n v="3"/>
    <m/>
  </r>
  <r>
    <x v="207"/>
    <s v="-"/>
    <n v="30015477"/>
    <s v="-"/>
    <s v="-"/>
    <s v="Matowy"/>
    <s v="32 GB eMMc; 1 TB HDD"/>
    <s v="4 GB"/>
    <s v="Intel CoreTM i3 3217U "/>
    <s v="1,80 GHz"/>
    <s v="Win 8"/>
    <x v="102"/>
    <s v="HDD, SSD skasować"/>
    <s v="-"/>
    <s v="S4214"/>
    <s v="B34YA"/>
    <s v="Pegatron"/>
    <s v="Nie"/>
    <s v="-"/>
    <n v="3"/>
    <m/>
  </r>
  <r>
    <x v="208"/>
    <s v="-"/>
    <n v="30015893"/>
    <s v="-"/>
    <s v="-"/>
    <s v="Matowy"/>
    <s v=";750 GB HDD"/>
    <s v="8 GB"/>
    <s v="Intel CoreTM i7-3630QM "/>
    <s v="2,40 GHz"/>
    <s v="Win 8"/>
    <x v="103"/>
    <s v="HDD"/>
    <s v="-"/>
    <s v="X7820"/>
    <s v="MS-1762"/>
    <s v="MSI"/>
    <s v="Nie"/>
    <s v="-"/>
    <n v="3"/>
    <m/>
  </r>
  <r>
    <x v="209"/>
    <s v="-"/>
    <n v="30019106"/>
    <s v="-"/>
    <s v="-"/>
    <s v="Touch / GLARE"/>
    <s v=";500 GB HDD"/>
    <s v="4 GB"/>
    <s v="AMD Temash A4-1200 "/>
    <s v="1,00 GHz"/>
    <s v="Win 8"/>
    <x v="104"/>
    <s v="HDD"/>
    <s v="Licencja Office 8.0"/>
    <s v="E1318T"/>
    <s v="H90T"/>
    <s v="Pegatron"/>
    <s v="Nie"/>
    <s v="-"/>
    <n v="3"/>
    <m/>
  </r>
  <r>
    <x v="210"/>
    <s v="-"/>
    <n v="30022635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4T"/>
    <s v="T11M"/>
    <s v="Pegatron"/>
    <s v="Tak"/>
    <s v="-"/>
    <n v="1"/>
    <m/>
  </r>
  <r>
    <x v="211"/>
    <s v="-"/>
    <n v="30015516"/>
    <s v="-"/>
    <s v="-"/>
    <s v="Matowy"/>
    <s v=";500 GB HDD"/>
    <s v="4 GB"/>
    <s v="Intel Pentium  B960"/>
    <s v="2,20 GHz"/>
    <s v="Win 8"/>
    <x v="105"/>
    <s v="HDD"/>
    <s v="-"/>
    <s v="E6234"/>
    <s v="A15YA"/>
    <s v="Pegatron"/>
    <s v="Nie"/>
    <s v="-"/>
    <n v="3"/>
    <m/>
  </r>
  <r>
    <x v="212"/>
    <s v="NB S6217 GOLF PEAG MD99091 NL Ref"/>
    <n v="30021035"/>
    <n v="30018317"/>
    <s v="-"/>
    <s v="GLARE"/>
    <s v=";500 GB HDD"/>
    <s v="4 GB"/>
    <s v="Celeron N2940"/>
    <s v="1,83 -2,25 GHz"/>
    <s v="Win 8.1"/>
    <x v="106"/>
    <s v="HDD"/>
    <s v="KB - NL"/>
    <s v="S6217"/>
    <s v="GOLF Plus"/>
    <s v="Inventec"/>
    <s v="Nie"/>
    <s v="-"/>
    <s v="-"/>
    <m/>
  </r>
  <r>
    <x v="213"/>
    <s v="NB S6417 GOLF PEAQ MD99092 NL Ref"/>
    <n v="30021033"/>
    <n v="30018318"/>
    <s v="-"/>
    <s v="NON GLARE"/>
    <s v=";500 GB SSHD"/>
    <s v="4 GB"/>
    <s v="Intel Core TM m-5Y10c"/>
    <s v="0,80 - 2.0 GHz"/>
    <s v="Win 8.1"/>
    <x v="107"/>
    <s v="HDD"/>
    <s v="s6417"/>
    <s v="S6417"/>
    <s v="GOLF Plus"/>
    <s v="Inventec"/>
    <s v="Nie"/>
    <s v="-"/>
    <s v="-"/>
    <m/>
  </r>
  <r>
    <x v="214"/>
    <s v="NB P6515 Peaq MD99093 NL REF"/>
    <n v="30021043"/>
    <n v="30018320"/>
    <s v="-"/>
    <s v="NON GLARE"/>
    <s v=";500 GB SSHD"/>
    <s v="6 GB"/>
    <s v="i5-5200U"/>
    <s v="2,2, GHz"/>
    <s v="Win 8.1"/>
    <x v="108"/>
    <s v="HDD"/>
    <s v="wymiana zawiasów, top case  /KB - NL"/>
    <s v="P6515"/>
    <s v="Polo Aluminium/Plastic"/>
    <s v="Inventec"/>
    <s v="Nie"/>
    <s v="-"/>
    <s v="-"/>
    <m/>
  </r>
  <r>
    <x v="215"/>
    <s v="NB E6419 PEAQ MD99094 NL Ref"/>
    <n v="30021030"/>
    <n v="30018322"/>
    <s v="-"/>
    <s v="NON GLARE"/>
    <s v=";1 TB SSHD"/>
    <s v="6 GB"/>
    <s v="Intel PentiumCPU 3805U"/>
    <s v="1,9 GHz"/>
    <s v="Win 8.1"/>
    <x v="109"/>
    <s v="HDD"/>
    <s v="wymiana zawiasów, top case  /KB - NL "/>
    <s v="E6419"/>
    <s v="Polo Aluminium/Plastic"/>
    <s v="-"/>
    <s v="Nie"/>
    <s v="-"/>
    <s v="-"/>
    <m/>
  </r>
  <r>
    <x v="216"/>
    <s v="-"/>
    <n v="30016020"/>
    <s v="-"/>
    <s v="-"/>
    <s v="Matowy"/>
    <s v="32 GB eMMc; 750 GB HDD"/>
    <s v="8 GB"/>
    <s v="Intel CoreTM i5 - 3210M "/>
    <s v="2,50 GHz"/>
    <s v="Win 8"/>
    <x v="110"/>
    <s v="HDD"/>
    <s v="-"/>
    <s v="P7818"/>
    <s v="A17JA"/>
    <s v="Pegatron"/>
    <s v="Nie"/>
    <s v="-"/>
    <n v="3"/>
    <m/>
  </r>
  <r>
    <x v="217"/>
    <s v="NB PEAQ P2213T 2IN1 MD99096 NL Ref"/>
    <n v="30020994"/>
    <n v="30018316"/>
    <s v="-"/>
    <s v="Touch / NON GLARE"/>
    <s v="64 GB eMMC;"/>
    <s v="2 GB"/>
    <s v="Intel Celeron N2840"/>
    <s v="2,16 GHz"/>
    <s v="Win 8.1"/>
    <x v="111"/>
    <s v="Pendrive Tab 3.0 "/>
    <s v="KB - NL / zamiast recovery re; firmware:HDD&amp;DOCK(204); W urządzeniu powinien być ustawiony shipping mode Akku."/>
    <s v="P2213T"/>
    <s v="T11M"/>
    <s v="Pegatron"/>
    <s v="Tak"/>
    <s v="-"/>
    <s v="-"/>
    <m/>
  </r>
  <r>
    <x v="218"/>
    <s v="NB PEAQ P2213T 2IN1 MD99097 NL Ref"/>
    <n v="30020995"/>
    <n v="30018319"/>
    <s v="-"/>
    <s v="Touch / NON GLARE"/>
    <s v="64 GB eMMC; 500 GB HDD"/>
    <s v="4 GB"/>
    <s v="Intel Pentium  N3540"/>
    <s v="2,16 GHz"/>
    <s v="Win 8.1"/>
    <x v="112"/>
    <s v="Pendrive Tab 3.0 "/>
    <s v="Wykasować dispartem dyski, po skasowaniu dysków podpiąć PEN z  i zamknąć okienko konsoli. Uruchomi się i nagra sam./ KB - NL,  ; firmware:HDD&amp;DOCK(204); W urządzeniu powinien być ustawiony shipping mode Akku."/>
    <s v="P2213T"/>
    <s v="T11M"/>
    <s v="Pegatron"/>
    <s v="Tak"/>
    <s v="-"/>
    <s v="-"/>
    <m/>
  </r>
  <r>
    <x v="219"/>
    <s v="WTAB PEAQ E1233T WIN MD99098NL Ref"/>
    <n v="30021005"/>
    <n v="30018321"/>
    <s v="-"/>
    <s v="Touch/GLARE"/>
    <s v="16 GB eMMc;"/>
    <s v="2 GB"/>
    <s v="Atom Z3735F"/>
    <s v="1,33-1,83 Ghz"/>
    <s v="Win 8.1"/>
    <x v="113"/>
    <s v="Pendrive"/>
    <s v="KB NL"/>
    <s v="E1233T"/>
    <s v="E123xT"/>
    <s v="Bitland"/>
    <s v="Nie"/>
    <s v="-"/>
    <s v="-"/>
    <m/>
  </r>
  <r>
    <x v="220"/>
    <s v="-"/>
    <n v="30021651"/>
    <s v="-"/>
    <s v="-"/>
    <s v="Matowy"/>
    <s v=";500 GB HDD"/>
    <s v="4 GB"/>
    <s v="Intel Core i3-4000M"/>
    <s v="2,40 GHz"/>
    <s v="Win 10"/>
    <x v="114"/>
    <s v="Pendrive"/>
    <s v="-"/>
    <s v="E7227"/>
    <s v="C17B"/>
    <s v="Pegatron"/>
    <s v="Nie"/>
    <s v="-"/>
    <n v="3"/>
    <m/>
  </r>
  <r>
    <x v="221"/>
    <s v="-"/>
    <n v="30015892"/>
    <s v="-"/>
    <s v="-"/>
    <s v="Matowy"/>
    <s v=";1 TB HDD"/>
    <s v="8 GB"/>
    <s v="Intel CoreTM i3 - 3110 M "/>
    <s v="2,40 GHz"/>
    <s v="Win 8"/>
    <x v="115"/>
    <s v="HDD"/>
    <s v="-"/>
    <s v="P7818"/>
    <s v="A17JA"/>
    <s v="Pegatron"/>
    <s v="Nie"/>
    <s v="-"/>
    <n v="3"/>
    <m/>
  </r>
  <r>
    <x v="222"/>
    <s v="-"/>
    <n v="30016289"/>
    <s v="-"/>
    <s v="-"/>
    <s v="Matowy"/>
    <s v=";1 TB HDD"/>
    <s v="8 GB"/>
    <s v="Intel CoreTM i3 - 3110 M "/>
    <s v="2,40 GHz"/>
    <s v="Win 8"/>
    <x v="116"/>
    <s v="HDD"/>
    <s v="-"/>
    <s v="P7818"/>
    <s v="A17JA"/>
    <s v="Pegatron"/>
    <s v="Nie"/>
    <s v="-"/>
    <n v="3"/>
    <m/>
  </r>
  <r>
    <x v="223"/>
    <s v="-"/>
    <n v="30015857"/>
    <s v="-"/>
    <s v="Czarny"/>
    <s v="Matowy"/>
    <s v=";1 TB HDD"/>
    <s v="4 GB"/>
    <s v="Intel CoreTM i3 - 3120M "/>
    <s v="2,50 GHz"/>
    <s v="Win 8"/>
    <x v="117"/>
    <s v="HDD"/>
    <s v="-"/>
    <s v="P6638"/>
    <s v="A35FF"/>
    <s v="Pegatron"/>
    <s v="Nie"/>
    <s v="-"/>
    <n v="3"/>
    <m/>
  </r>
  <r>
    <x v="223"/>
    <s v="-"/>
    <n v="30015979"/>
    <s v="-"/>
    <s v="Srebrny"/>
    <s v="Matowy"/>
    <s v=";1 TB HDD"/>
    <s v="4 GB"/>
    <s v="Intel CoreTM i3 - 3120M "/>
    <s v="2,50 GHz"/>
    <s v="Win 8"/>
    <x v="117"/>
    <s v="HDD"/>
    <s v="-"/>
    <s v="P6638"/>
    <s v="A35FF"/>
    <s v="Pegatron"/>
    <s v="Nie"/>
    <s v="-"/>
    <n v="3"/>
    <m/>
  </r>
  <r>
    <x v="224"/>
    <s v="-"/>
    <n v="30016406"/>
    <s v="-"/>
    <s v="Czarny"/>
    <s v="Matowy"/>
    <s v=";1 TB HDD"/>
    <s v="4 GB"/>
    <s v="Intel CoreTM i3 - 3120M "/>
    <s v="2,50 GHz"/>
    <s v="Win 8"/>
    <x v="118"/>
    <s v="HDD"/>
    <s v="-"/>
    <s v="P6638"/>
    <s v="A35FF"/>
    <s v="Pegatron"/>
    <s v="Nie"/>
    <s v="-"/>
    <n v="3"/>
    <m/>
  </r>
  <r>
    <x v="224"/>
    <s v="-"/>
    <n v="30016407"/>
    <s v="-"/>
    <s v="Grafitowy"/>
    <s v="Matowy"/>
    <s v=";1 TB HDD"/>
    <s v="4 GB"/>
    <s v="Intel CoreTM i3 - 3120M "/>
    <s v="2,50 GHz"/>
    <s v="Win 8"/>
    <x v="118"/>
    <s v="HDD"/>
    <s v="-"/>
    <s v="P6638"/>
    <s v="A35FF"/>
    <s v="Pegatron"/>
    <s v="Nie"/>
    <s v="-"/>
    <n v="3"/>
    <m/>
  </r>
  <r>
    <x v="225"/>
    <s v="PMM C1008-I01NL"/>
    <n v="30020996"/>
    <n v="30018668"/>
    <s v="-"/>
    <s v="Touch/GLARE"/>
    <s v="32 GB eMMC;"/>
    <s v="2 GB"/>
    <s v="Atom Z3735F"/>
    <s v="1,33-1,83 Ghz"/>
    <s v="Win 8.1"/>
    <x v="119"/>
    <s v="Pendrive"/>
    <s v="KB - NL, po testach recovery z pod system"/>
    <s v="C1008"/>
    <s v="WMBT1031"/>
    <s v="Tongfang"/>
    <s v="Nie"/>
    <s v="-"/>
    <s v="-"/>
    <m/>
  </r>
  <r>
    <x v="226"/>
    <s v="PMM C1008-I01NL"/>
    <n v="30020997"/>
    <n v="30018669"/>
    <s v="-"/>
    <s v="Touch/GLARE"/>
    <s v="32 GB eMMC;"/>
    <s v="2 GB"/>
    <s v="Atom Z3735F"/>
    <s v="1,33-1,83 Ghz"/>
    <s v="Win 8.1"/>
    <x v="119"/>
    <s v="Pendrive"/>
    <s v="KB - NL, po testach recovery z pod system"/>
    <s v="C1008"/>
    <s v="WMBT1031"/>
    <s v="Tongfang"/>
    <s v="Nie"/>
    <s v="-"/>
    <s v="-"/>
    <m/>
  </r>
  <r>
    <x v="227"/>
    <s v="CNB PEAQ P2213T MD99188 NL Ref"/>
    <n v="30021006"/>
    <n v="30018690"/>
    <s v="-"/>
    <s v="Touch / NON GLARE"/>
    <s v="32 GB eMMC; 500 GB HDD"/>
    <s v="4 GB"/>
    <s v="Intel Pentium  N3540"/>
    <s v="2,16 GHz"/>
    <s v="Win 8.1"/>
    <x v="120"/>
    <s v="HDD"/>
    <s v="KB - NL, po testach recovery z pod system, pratycję D:// dogrywamy przez HDClone z dysku; firmware:HDD&amp;DOCK(204); W urządzeniu powinien być ustawiony shipping mode Akku."/>
    <s v="P2213T"/>
    <s v="T11M"/>
    <s v="Pegatron"/>
    <s v="Tak"/>
    <s v="-"/>
    <s v="-"/>
    <m/>
  </r>
  <r>
    <x v="228"/>
    <s v="PNB P1115-I2NL"/>
    <n v="30021041"/>
    <n v="30018691"/>
    <s v="-"/>
    <s v="NON GLARE"/>
    <s v=";500 GB SSHD"/>
    <s v="8 GB"/>
    <s v="Intel Pentium CPU 3805U"/>
    <s v="1,9 GHz"/>
    <s v="Win 8.1"/>
    <x v="108"/>
    <s v="HDD"/>
    <s v="wymiana zawiasów, top case  /KB -NL"/>
    <s v="P1115"/>
    <s v="Polo Aluminium/Plastic"/>
    <s v="Inventec"/>
    <s v="Nie"/>
    <s v="-"/>
    <s v="-"/>
    <m/>
  </r>
  <r>
    <x v="229"/>
    <s v="PNB S1015-I2NL"/>
    <n v="30021032"/>
    <n v="30018692"/>
    <s v="-"/>
    <s v="NON GLARE"/>
    <s v=";500 GB SSHD"/>
    <s v="4 GB"/>
    <s v="Intel Pentium CPU 3540U"/>
    <s v="2.16 GHz"/>
    <s v="Win 8.1"/>
    <x v="121"/>
    <s v="HDD"/>
    <s v="KB - NL "/>
    <s v="S1015"/>
    <s v="Golf Plus"/>
    <s v="Inventec"/>
    <s v="Nie"/>
    <s v="-"/>
    <s v="-"/>
    <m/>
  </r>
  <r>
    <x v="230"/>
    <s v="PNB S1115-IMNL"/>
    <n v="30021038"/>
    <n v="30018693"/>
    <s v="-"/>
    <s v="NON GLARE"/>
    <s v="128 GB SSD;"/>
    <s v="4 GB"/>
    <s v="Intel Core TM m-5Y10c"/>
    <s v="0,80 - 2.0 GHz"/>
    <s v="Win 8.1"/>
    <x v="122"/>
    <s v="SSD 128 GB"/>
    <s v="KB - NL "/>
    <s v="S1115"/>
    <s v="Golf 2.0"/>
    <s v="Inventec"/>
    <s v="Nie"/>
    <s v="-"/>
    <s v="-"/>
    <m/>
  </r>
  <r>
    <x v="231"/>
    <s v=" PNB P1115-I5NL"/>
    <n v="30021007"/>
    <n v="30018694"/>
    <s v="-"/>
    <s v="NON GLARE"/>
    <s v=";500 GB SSHD"/>
    <s v="4 GB"/>
    <s v="i5-5200U"/>
    <s v="2,2, GHz"/>
    <s v="Win 8.1"/>
    <x v="123"/>
    <s v="HDD"/>
    <s v="wymiana zawiasów, top case  /KB - NL"/>
    <s v="P1115"/>
    <s v="Polo Aluminium/Plastic"/>
    <s v="Inventec"/>
    <s v="Nie"/>
    <s v="-"/>
    <s v="-"/>
    <m/>
  </r>
  <r>
    <x v="232"/>
    <s v="PNB P1115-I7NL"/>
    <n v="30021054"/>
    <n v="30018695"/>
    <s v="-"/>
    <s v="NON GLARE"/>
    <s v=";500 GB SSHD"/>
    <s v="6 GB"/>
    <s v="Intel Core i7-5500U "/>
    <s v="2,4 Ghz"/>
    <s v="Win 10"/>
    <x v="124"/>
    <s v="Pendrive"/>
    <s v="KB -  NL"/>
    <s v="P1115"/>
    <s v="Polo Aluminium/Plastic"/>
    <s v="Inventec"/>
    <s v="Nie"/>
    <s v="-"/>
    <s v="-"/>
    <m/>
  </r>
  <r>
    <x v="233"/>
    <s v="-"/>
    <n v="30015998"/>
    <s v="-"/>
    <s v="Srebrny"/>
    <s v="Matowy"/>
    <s v=";1 TB HDD"/>
    <s v="8 GB"/>
    <s v="Intel CoreTM i3 - 3120M "/>
    <s v="2,50 GHz"/>
    <s v="Win 8"/>
    <x v="125"/>
    <s v="HDD"/>
    <s v="-"/>
    <s v="P6640"/>
    <s v="M52P1"/>
    <s v="Wistron"/>
    <s v="Nie"/>
    <s v="-"/>
    <n v="3"/>
    <m/>
  </r>
  <r>
    <x v="234"/>
    <s v="-"/>
    <n v="30017176"/>
    <s v="-"/>
    <s v="-"/>
    <s v="Matowy"/>
    <s v=";500 GB HDD"/>
    <s v="4 GB"/>
    <s v="Intel CoreTM i3 - 3120M "/>
    <s v="2,50 GHz"/>
    <s v="Win 8"/>
    <x v="126"/>
    <s v="HDD"/>
    <s v="-"/>
    <s v="E6232"/>
    <s v="M52U1"/>
    <s v="Wistron"/>
    <s v="Nie"/>
    <s v="-"/>
    <n v="3"/>
    <m/>
  </r>
  <r>
    <x v="235"/>
    <s v="-"/>
    <n v="30016718"/>
    <s v="-"/>
    <s v="-"/>
    <s v="Matowy"/>
    <s v=";1 TB HDD"/>
    <s v="4 GB"/>
    <s v="Intel Pentium  2020M"/>
    <s v="2,40 GHz"/>
    <s v="Win 8"/>
    <x v="127"/>
    <s v="HDD"/>
    <s v="-"/>
    <s v="E6234"/>
    <s v="A15YA"/>
    <s v="Pegatron"/>
    <s v="Nie"/>
    <s v="-"/>
    <n v="3"/>
    <m/>
  </r>
  <r>
    <x v="236"/>
    <s v="-"/>
    <n v="30016719"/>
    <s v="-"/>
    <s v="-"/>
    <s v="Matowy"/>
    <s v=";500 GB HDD"/>
    <s v="4 GB"/>
    <s v="Intel Pentium  2020M"/>
    <s v="2,40 GHz"/>
    <s v="Win 8"/>
    <x v="128"/>
    <s v="HDD"/>
    <s v="-"/>
    <s v="E6234"/>
    <s v="A15YA"/>
    <s v="Pegatron"/>
    <s v="Nie"/>
    <s v="-"/>
    <n v="3"/>
    <m/>
  </r>
  <r>
    <x v="237"/>
    <s v="-"/>
    <n v="30018246"/>
    <s v="-"/>
    <s v="-"/>
    <s v="Matowy"/>
    <s v=";500 GB HDD"/>
    <s v="4 GB"/>
    <s v="Intel CoreTM i3 - 3120M "/>
    <s v="2,50 GHz"/>
    <s v="Win 8"/>
    <x v="105"/>
    <s v="HDD"/>
    <s v="-"/>
    <s v="E6234"/>
    <s v="A15YA"/>
    <s v="Pegatron"/>
    <s v="Nie"/>
    <s v="-"/>
    <n v="3"/>
    <m/>
  </r>
  <r>
    <x v="238"/>
    <s v="-"/>
    <n v="30016805"/>
    <s v="-"/>
    <s v="-"/>
    <s v="Touch / GLARE"/>
    <s v=";500 GB HDD"/>
    <s v="2 GB"/>
    <s v="AMD Temash A4-1200 "/>
    <s v="1,00 GHz"/>
    <s v="Win 8"/>
    <x v="129"/>
    <s v="HDD"/>
    <s v="Licencja Office 8.0"/>
    <s v="E1318T"/>
    <s v="H90T"/>
    <s v="Pegatron"/>
    <s v="Nie"/>
    <s v="-"/>
    <n v="3"/>
    <m/>
  </r>
  <r>
    <x v="239"/>
    <s v="-"/>
    <n v="30016806"/>
    <s v="-"/>
    <s v="-"/>
    <s v="Matowy"/>
    <s v=";500 GB HDD"/>
    <s v="4 GB"/>
    <s v="Intel Pentium  2020M"/>
    <s v="2,40 GHz"/>
    <s v="Win 8"/>
    <x v="130"/>
    <s v="HDD"/>
    <s v="-"/>
    <s v="E7222"/>
    <s v="A17JA"/>
    <s v="Pegatron"/>
    <s v="Nie"/>
    <s v="-"/>
    <n v="3"/>
    <m/>
  </r>
  <r>
    <x v="240"/>
    <s v="-"/>
    <n v="30016901"/>
    <s v="-"/>
    <s v="-"/>
    <s v="Touch / GLARE"/>
    <s v=";500 GB SSHD"/>
    <s v="4 GB"/>
    <s v="Intel Core i3-4010U"/>
    <s v="1,70 GHz"/>
    <s v="Win 8.1"/>
    <x v="131"/>
    <s v="HDD"/>
    <s v="-"/>
    <s v="S6212T"/>
    <s v="US55II1"/>
    <s v="ECS"/>
    <s v="Nie"/>
    <s v="-"/>
    <n v="4"/>
    <m/>
  </r>
  <r>
    <x v="241"/>
    <s v="-"/>
    <n v="30017359"/>
    <s v="-"/>
    <s v="-"/>
    <s v="Matowy"/>
    <s v=";1 TB SSHD"/>
    <s v="6 GB"/>
    <s v="Intel CoreTM i5 - 3230 M "/>
    <s v="2,60 GHz"/>
    <s v="Win 8"/>
    <x v="132"/>
    <s v="HDD"/>
    <s v="-"/>
    <s v="P7628"/>
    <s v="C17A"/>
    <s v="Pegatron"/>
    <s v="Nie"/>
    <s v="-"/>
    <n v="3"/>
    <m/>
  </r>
  <r>
    <x v="242"/>
    <s v="-"/>
    <n v="30017883"/>
    <s v="-"/>
    <s v="-"/>
    <s v="Matowy"/>
    <s v="32 GB eMMC; 500 GB HDD"/>
    <s v="4 GB"/>
    <s v="Intel CoreTM i5 3317U "/>
    <s v="1,70 GHz"/>
    <s v="Win 8"/>
    <x v="133"/>
    <s v="HDD, SSD skasować"/>
    <s v="zostawic pusty SLOT DVD/AKKU!!"/>
    <s v="S4214"/>
    <s v="B34YA"/>
    <s v="Pegatron"/>
    <s v="Nie"/>
    <s v="-"/>
    <n v="3"/>
    <m/>
  </r>
  <r>
    <x v="243"/>
    <s v="-"/>
    <n v="30017318"/>
    <s v="-"/>
    <s v="-"/>
    <s v="Touch / NON GLARE"/>
    <s v="64 GB eMMC; 500 GB HDD"/>
    <s v="2 GB"/>
    <s v="Intel Celeron  N2910"/>
    <s v="1,60 GHz"/>
    <s v="Win 8.1"/>
    <x v="134"/>
    <s v="HDD / RECOVER"/>
    <s v="test PU9"/>
    <s v="P2212T"/>
    <s v="TZ20"/>
    <s v="ECS"/>
    <s v="Nie"/>
    <s v="-"/>
    <n v="4"/>
    <m/>
  </r>
  <r>
    <x v="244"/>
    <s v="-"/>
    <n v="30017114"/>
    <s v="-"/>
    <s v="-"/>
    <s v="Touch / NON GLARE"/>
    <s v=";500 GB SSHD"/>
    <s v="4 GB"/>
    <s v=" Intel Celeron  N2910"/>
    <s v="1,60 GHz"/>
    <s v="Win 8.1"/>
    <x v="135"/>
    <s v="HDD"/>
    <s v="Update Firmware LCD/Touch"/>
    <s v="E6240T"/>
    <s v="C15M"/>
    <s v="Pegatron"/>
    <s v="Nie"/>
    <s v="-"/>
    <n v="3"/>
    <m/>
  </r>
  <r>
    <x v="245"/>
    <s v="PNB P1115-I5CH"/>
    <n v="30021096"/>
    <n v="30019033"/>
    <s v="-"/>
    <s v="NON GLARE"/>
    <s v=";1 TB SSHD"/>
    <s v="8 GB"/>
    <s v="i5-5200U"/>
    <s v="2,2, GHz"/>
    <s v="Win 8.1"/>
    <x v="136"/>
    <s v="HDD"/>
    <s v="KB -CH"/>
    <s v="P1115"/>
    <s v="Polo Aluminium/Plastic"/>
    <s v="Inventec"/>
    <s v="Nie"/>
    <s v="-"/>
    <s v="-"/>
    <m/>
  </r>
  <r>
    <x v="246"/>
    <s v="-"/>
    <n v="30017319"/>
    <s v="-"/>
    <s v="-"/>
    <s v="Matowy"/>
    <s v=";500 GB HDD"/>
    <s v="4 GB"/>
    <s v="Intel Celeron  N2910"/>
    <s v="1,60 GHz"/>
    <s v="Win 8.1"/>
    <x v="137"/>
    <s v="HDD"/>
    <s v="-"/>
    <s v="E6240"/>
    <s v="C15M"/>
    <s v="Pegatron"/>
    <s v="Nie"/>
    <s v="-"/>
    <n v="3"/>
    <m/>
  </r>
  <r>
    <x v="247"/>
    <s v=" S1115-IMCH"/>
    <n v="30022964"/>
    <n v="30019032"/>
    <s v="-"/>
    <s v="NON GLARE"/>
    <s v=";1 TB HDD"/>
    <s v="4 GB"/>
    <s v="Intel Core TM m-5Y10c"/>
    <s v="0,80 - 2.0 GHz"/>
    <s v="Win 8.1"/>
    <x v="138"/>
    <s v="HDD"/>
    <s v="KB - CH"/>
    <s v="S1115"/>
    <s v="GOLF Plus"/>
    <s v="Inventec"/>
    <s v="Nie"/>
    <s v="-"/>
    <s v="-"/>
    <m/>
  </r>
  <r>
    <x v="248"/>
    <s v="-"/>
    <n v="30017360"/>
    <s v="-"/>
    <s v="-"/>
    <s v="Matowy"/>
    <s v="64 GB eMMc; 1 TB HDD"/>
    <s v="4 GB"/>
    <s v="IntelCore i7-4700MQ "/>
    <s v="2,40GHz"/>
    <s v="Win 8"/>
    <x v="139"/>
    <s v="HDD"/>
    <s v="-"/>
    <s v="X7826"/>
    <s v="MS-1762"/>
    <s v="MSI"/>
    <s v="Nie"/>
    <s v="-"/>
    <n v="3"/>
    <m/>
  </r>
  <r>
    <x v="249"/>
    <s v="C1017-I2CH"/>
    <n v="30021097"/>
    <n v="30019034"/>
    <s v="-"/>
    <s v="NON GLARE"/>
    <s v=";1 TB HDD"/>
    <s v="4 GB"/>
    <s v="Intel PentiumCPU 3805U"/>
    <s v="1,9 GHz"/>
    <s v="Win 8.1"/>
    <x v="140"/>
    <s v="HDD"/>
    <s v="KB - CH"/>
    <s v="C1017"/>
    <s v="D17D"/>
    <s v="Pegatron"/>
    <s v="Tak"/>
    <s v="-"/>
    <s v="-"/>
    <m/>
  </r>
  <r>
    <x v="250"/>
    <s v="P1017-I5CH"/>
    <n v="30021081"/>
    <n v="30019035"/>
    <s v="-"/>
    <s v="NON GLARE"/>
    <s v=";1 TB SSHD"/>
    <s v="8 GB"/>
    <s v="i5-5200U"/>
    <s v="2,2, GHz"/>
    <s v="Win 8.1"/>
    <x v="141"/>
    <s v="HDD"/>
    <s v="KB - CH"/>
    <s v="P1017"/>
    <s v="D17D"/>
    <s v="Pegatron"/>
    <s v="Tak"/>
    <s v="-"/>
    <s v="-"/>
    <m/>
  </r>
  <r>
    <x v="251"/>
    <s v="P1117-I7CH"/>
    <n v="30021090"/>
    <n v="30019036"/>
    <s v="-"/>
    <s v="NON GLARE?"/>
    <s v=";1 TB SSHD"/>
    <s v="8 GB"/>
    <s v="Intel Core i7-5500U "/>
    <s v="2,4 Ghz"/>
    <s v="Win 10"/>
    <x v="141"/>
    <s v="HDD"/>
    <s v="KB -CH"/>
    <s v="P1117"/>
    <s v="D17D"/>
    <s v="Pegatron"/>
    <s v="Tak"/>
    <s v="-"/>
    <s v="-"/>
    <m/>
  </r>
  <r>
    <x v="252"/>
    <s v="-"/>
    <n v="30017361"/>
    <s v="-"/>
    <s v="-"/>
    <s v="Touch /NON GLARE"/>
    <s v=";1 TB SSHD"/>
    <s v="4 GB"/>
    <s v="Intel Pentium  N3520"/>
    <s v="2,16 GHz"/>
    <s v="Win 8.1"/>
    <x v="142"/>
    <s v="HDD"/>
    <s v="-"/>
    <s v="E7226T"/>
    <s v="C17M"/>
    <s v="Pegatron"/>
    <s v="Nie"/>
    <s v="-"/>
    <n v="3"/>
    <m/>
  </r>
  <r>
    <x v="253"/>
    <s v="-"/>
    <n v="30017723"/>
    <s v="-"/>
    <s v="-"/>
    <s v="Matowy"/>
    <s v=";1 TB SSHD"/>
    <s v="4 GB"/>
    <s v="Intel Pentium  N3520"/>
    <s v="2,16 GHz"/>
    <s v="Win 8.1"/>
    <x v="143"/>
    <s v="HDD"/>
    <s v="-"/>
    <s v="E7226"/>
    <s v="C17M"/>
    <s v="Pegatron"/>
    <s v="Nie"/>
    <s v="-"/>
    <n v="3"/>
    <m/>
  </r>
  <r>
    <x v="254"/>
    <s v="-"/>
    <n v="30022769"/>
    <s v="-"/>
    <s v="-"/>
    <s v="Touch / GLARE"/>
    <s v=";500 GB HDD"/>
    <s v="4 GB"/>
    <s v="Intel Pentium  3558U"/>
    <s v="1,70 GHz"/>
    <s v="Win 8.1"/>
    <x v="144"/>
    <s v="HDD"/>
    <s v="sponge/ poron"/>
    <s v="E6412T"/>
    <s v=" D15B"/>
    <s v="Pegatron"/>
    <s v="Tak"/>
    <s v="-"/>
    <n v="3"/>
    <m/>
  </r>
  <r>
    <x v="255"/>
    <s v="-"/>
    <n v="30021122"/>
    <s v="-"/>
    <s v="-"/>
    <s v="Touch / NON GLARE"/>
    <s v="64 GB eMMC; 500 GB HDD"/>
    <s v="4 GB"/>
    <s v="Celeron N2940"/>
    <s v="1,83 -2,25 GHz"/>
    <s v="Win 8.1"/>
    <x v="145"/>
    <s v="Pedrive "/>
    <s v="Test akku, Fimware SATA dock"/>
    <s v="P2214T"/>
    <s v="T11M"/>
    <s v="Pegatron"/>
    <s v="Tak"/>
    <s v="-"/>
    <n v="1"/>
    <m/>
  </r>
  <r>
    <x v="256"/>
    <s v="-"/>
    <n v="30019081"/>
    <s v="-"/>
    <s v="-"/>
    <s v="Touch / NON GLARE"/>
    <s v="64 GB eMMC; 500 GB HDD"/>
    <s v="4 GB"/>
    <s v="Intel Pentium  N3540"/>
    <s v="2,16 GHz"/>
    <s v="Win 8.1"/>
    <x v="86"/>
    <s v=" 3.0 HDD"/>
    <s v="-"/>
    <s v="S6214T"/>
    <s v="T15M"/>
    <s v="Pegatron"/>
    <s v="Tak"/>
    <s v="-"/>
    <n v="1"/>
    <m/>
  </r>
  <r>
    <x v="257"/>
    <s v="-"/>
    <n v="30021202"/>
    <s v="-"/>
    <s v="-"/>
    <s v="Touch/GLARE"/>
    <s v="64 GB eMMC;"/>
    <s v="2 GB"/>
    <s v="Atom Z3735F"/>
    <s v="1,33-1,83 Ghz"/>
    <s v="Win 8.1"/>
    <x v="146"/>
    <s v="Pendrive"/>
    <s v="BIOS!!!"/>
    <s v="E1234T"/>
    <s v="E123xT"/>
    <s v="Bitland"/>
    <s v="Nie"/>
    <s v="-"/>
    <s v="-"/>
    <m/>
  </r>
  <r>
    <x v="258"/>
    <s v="-"/>
    <n v="30022636"/>
    <s v="-"/>
    <s v="-"/>
    <s v="Matowy"/>
    <s v=";500 GB HDD"/>
    <s v="2 GB"/>
    <s v="Celeron N2840"/>
    <s v="2,16 GHz"/>
    <s v="Win 8.1"/>
    <x v="147"/>
    <s v="Pendrive"/>
    <s v="Klawiatura Hiszpańska/ Inne klawiatury na ks i abverkauf. Nowe MB magą się nie włączać dopóki nie poklika się kila razy we włącznik."/>
    <s v="E4213"/>
    <s v="NDBT1401"/>
    <s v="Tongfang"/>
    <s v="Nie"/>
    <s v="-"/>
    <n v="4"/>
    <m/>
  </r>
  <r>
    <x v="259"/>
    <s v="-"/>
    <n v="30017430"/>
    <s v="-"/>
    <s v="-"/>
    <s v="Touch / GLARE"/>
    <s v=";500 GB HDD"/>
    <s v="4 GB"/>
    <s v="AMD Temash A4-1200 "/>
    <s v="1,00 GHz"/>
    <s v="Win 8.1"/>
    <x v="148"/>
    <s v="HDD"/>
    <s v="Licencja Office 8.1"/>
    <s v="E1318T"/>
    <s v="H90T"/>
    <s v="Pegatron"/>
    <s v="Nie"/>
    <s v="-"/>
    <n v="3"/>
    <m/>
  </r>
  <r>
    <x v="260"/>
    <s v="-"/>
    <n v="30017913"/>
    <s v="-"/>
    <s v="-"/>
    <s v="Touch / NON GLARE"/>
    <s v="64 GB eMMC; 500 GB HDD"/>
    <s v="2 GB"/>
    <s v="Intel Celeron  N2920"/>
    <s v="1,86 GHz"/>
    <s v="Win 8.1"/>
    <x v="149"/>
    <s v="HDD / RECOVER"/>
    <s v="test PU9"/>
    <s v="P2212T"/>
    <s v="TZ20"/>
    <s v="ECS"/>
    <s v="Nie"/>
    <s v="-"/>
    <n v="4"/>
    <m/>
  </r>
  <r>
    <x v="261"/>
    <s v="PMM C1008-I01N"/>
    <n v="30022965"/>
    <s v="30019136, 30020222"/>
    <s v="-"/>
    <s v="Touch/GLARE"/>
    <s v="64 GB eMMC;"/>
    <s v="2 GB"/>
    <s v="Atom Z3735F"/>
    <s v="1,33-1,83 Ghz"/>
    <s v="Win 10"/>
    <x v="150"/>
    <s v="Pendrive"/>
    <s v="KB - NL /  zamiast recovery re"/>
    <s v="C1008"/>
    <s v="WMBT1031"/>
    <s v="Tongfang"/>
    <s v="Nie"/>
    <s v="-"/>
    <s v="-"/>
    <m/>
  </r>
  <r>
    <x v="262"/>
    <s v="PMM C1010-I01NL"/>
    <n v="30022966"/>
    <n v="30019135"/>
    <s v="-"/>
    <s v="Touch/GLARE"/>
    <s v="64 GB eMMC;"/>
    <s v="2 GB"/>
    <s v="Atom Z3735F"/>
    <s v="1,33-1,83 Ghz"/>
    <s v="Win 10"/>
    <x v="150"/>
    <s v="Pendrive"/>
    <s v="KB - NL /  zamiast recovery re"/>
    <s v="C1008"/>
    <s v="WMBT1031"/>
    <s v="Tongfang"/>
    <s v="Nie"/>
    <s v="-"/>
    <s v="-"/>
    <m/>
  </r>
  <r>
    <x v="262"/>
    <s v="PMM C1010-I01NL "/>
    <n v="30022966"/>
    <n v="30020223"/>
    <s v="-"/>
    <s v="Touch/GLARE"/>
    <s v="64 GB eMMC;"/>
    <s v="2 GB"/>
    <s v="Atom Z3735F"/>
    <s v="1,33-1,83 Ghz"/>
    <s v="Win 10"/>
    <x v="150"/>
    <s v="Pendrive"/>
    <s v="KB - NL /  zamiast recovery re"/>
    <s v="C1008"/>
    <s v="WMBT1031"/>
    <s v="Tongfang"/>
    <s v="Nie"/>
    <s v="-"/>
    <s v="-"/>
    <m/>
  </r>
  <r>
    <x v="263"/>
    <s v="PNB C1014-I1NL"/>
    <n v="30020998"/>
    <n v="30019134"/>
    <s v="-"/>
    <s v="NON GLARE"/>
    <s v="32 GB eMMC; 500 GB HDD"/>
    <s v="2 GB"/>
    <s v="Celeron N2940"/>
    <s v="1,83 -2,25 GHz"/>
    <s v="Win 10"/>
    <x v="151"/>
    <s v="Pendrive- WYBIERAMY 2 OPCJĘ "/>
    <s v="Klawiatura NL, Zamiast Recovery -  z pendrive"/>
    <s v="C1014"/>
    <s v="NDBT1401"/>
    <s v="Tongfang"/>
    <s v="Nie"/>
    <s v="-"/>
    <s v="-"/>
    <m/>
  </r>
  <r>
    <x v="264"/>
    <s v="PNB S1015-I2NL"/>
    <n v="30022967"/>
    <s v="30019139, 30020147"/>
    <s v="-"/>
    <s v="NON GLARE"/>
    <s v=";500 GB HDD"/>
    <s v="4 GB"/>
    <s v="Intel Pentium  N3540"/>
    <s v="2,16 GHz"/>
    <s v="Win 10"/>
    <x v="152"/>
    <s v="Pendrive"/>
    <s v="KB -NL"/>
    <m/>
    <m/>
    <m/>
    <m/>
    <s v="-"/>
    <s v="-"/>
    <m/>
  </r>
  <r>
    <x v="265"/>
    <s v="PNB S1115-IM2N"/>
    <n v="30021085"/>
    <n v="30019150"/>
    <s v="-"/>
    <s v="NON GLARE ?"/>
    <s v="128 GB SSD;"/>
    <s v="4 GB"/>
    <s v="Intel Core TM m-5Y31"/>
    <s v="0,90 - 2.4 GHz"/>
    <s v="Win 10"/>
    <x v="153"/>
    <s v="Pendrive"/>
    <s v="KB -NL"/>
    <s v="S1115"/>
    <s v="Golf 2.0"/>
    <s v="Inventec"/>
    <s v="Nie"/>
    <s v="-"/>
    <s v="-"/>
    <m/>
  </r>
  <r>
    <x v="266"/>
    <s v="PNB C1015-I2N2"/>
    <n v="30021036"/>
    <n v="30019151"/>
    <s v="-"/>
    <s v="NON GLARE"/>
    <s v="128 GB SSD; 500 GB HDD"/>
    <s v="8 GB"/>
    <s v="Intel PentiumCPU 3805U"/>
    <s v="1,9 GHz"/>
    <s v="Win 10"/>
    <x v="154"/>
    <s v="Pendrive"/>
    <s v="wymiana zawiasów, top case  /KB - NL"/>
    <s v="C1015"/>
    <s v="Polo Aluminium/Plastic"/>
    <s v="Inventec"/>
    <s v="Nie"/>
    <s v="-"/>
    <s v="-"/>
    <m/>
  </r>
  <r>
    <x v="267"/>
    <s v="PNB P1115-I5NL"/>
    <n v="30021078"/>
    <n v="30019138"/>
    <s v="-"/>
    <s v="NON GLARE"/>
    <s v=";1 TB SSHD"/>
    <s v="8 GB"/>
    <s v="i5-5200U"/>
    <s v="2,2, GHz"/>
    <s v="Win 10"/>
    <x v="155"/>
    <s v="Pendrive"/>
    <s v="KB -NL"/>
    <s v="P1115"/>
    <s v="Polo Aluminium/Plastic"/>
    <s v="Inventec"/>
    <s v="Nie"/>
    <s v="-"/>
    <s v="-"/>
    <m/>
  </r>
  <r>
    <x v="268"/>
    <s v="PNB P1115-I7N2"/>
    <n v="30021084"/>
    <n v="30019137"/>
    <s v="-"/>
    <s v="NON GLARE"/>
    <s v=";1 TB SSHD"/>
    <s v="8 GB"/>
    <s v="Intel Core i7-5500U "/>
    <s v="2,4 Ghz"/>
    <s v="Win 10"/>
    <x v="155"/>
    <s v="Pendrive"/>
    <s v="KB -NL"/>
    <s v="P1115"/>
    <s v="Polo Aluminium/Plastic"/>
    <s v="Inventec"/>
    <s v="Nie"/>
    <s v="-"/>
    <s v="-"/>
    <m/>
  </r>
  <r>
    <x v="269"/>
    <s v="-"/>
    <n v="30021205"/>
    <s v="-"/>
    <s v="-"/>
    <s v="Touch/GLARE"/>
    <s v="32 GB eMMC;"/>
    <s v="2 GB"/>
    <s v="Atom Z3735F"/>
    <s v="1,33-1,83 Ghz"/>
    <s v="Win 10"/>
    <x v="156"/>
    <s v="Pendrive "/>
    <s v="re"/>
    <s v="S1219T"/>
    <s v="M1042"/>
    <s v="CZC"/>
    <s v="Nie"/>
    <s v="-"/>
    <s v="-"/>
    <m/>
  </r>
  <r>
    <x v="270"/>
    <s v="-"/>
    <n v="30022637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3T"/>
    <s v="T11M"/>
    <s v="Pegatron"/>
    <s v="Tak"/>
    <s v="-"/>
    <n v="1"/>
    <m/>
  </r>
  <r>
    <x v="271"/>
    <s v="-"/>
    <n v="30017431"/>
    <s v="-"/>
    <s v="-"/>
    <s v="Touch / NON GLARE"/>
    <s v=";500 GB SSHD"/>
    <s v="4 GB"/>
    <s v="Intel Celeron  N2920"/>
    <s v="1,86 GHz"/>
    <s v="Win 8.1"/>
    <x v="157"/>
    <s v="HDD"/>
    <s v="-"/>
    <s v="E6240T"/>
    <s v="C15M"/>
    <s v="Pegatron"/>
    <s v="Nie"/>
    <s v="-"/>
    <n v="3"/>
    <m/>
  </r>
  <r>
    <x v="272"/>
    <s v="-"/>
    <n v="30017722"/>
    <s v="-"/>
    <s v="-"/>
    <s v="Touch / NON GLARE"/>
    <s v="64 GB eMMC; 500 GB HDD"/>
    <s v="4 GB"/>
    <s v="Intel Celeron  N2920"/>
    <s v="1,86 GHz"/>
    <s v="Win 8.1"/>
    <x v="149"/>
    <s v="HDD / RECOVER"/>
    <s v="test PU9"/>
    <s v="-"/>
    <s v="-"/>
    <s v="-"/>
    <s v="Nie"/>
    <s v="-"/>
    <s v="-"/>
    <m/>
  </r>
  <r>
    <x v="273"/>
    <s v="-"/>
    <n v="30020445"/>
    <s v="-"/>
    <s v="-"/>
    <s v="Matowy"/>
    <s v=";500 GB HDD"/>
    <s v="4 GB"/>
    <s v="i5-5200U"/>
    <s v="2,2, GHz"/>
    <s v="Win 10"/>
    <x v="158"/>
    <s v="Pendrive"/>
    <s v="Shipping mode"/>
    <s v="E7416"/>
    <s v="D17D"/>
    <s v="Pegatron"/>
    <s v="Tak"/>
    <s v="-"/>
    <n v="3"/>
    <m/>
  </r>
  <r>
    <x v="274"/>
    <s v="-"/>
    <n v="30020735"/>
    <s v="-"/>
    <s v="-"/>
    <s v="Touch /NON GLARE"/>
    <s v=";500 GB HDD"/>
    <s v="4 GB"/>
    <s v="Intel Pentium  3558U"/>
    <s v="1,70 GHz"/>
    <s v="Win 10"/>
    <x v="159"/>
    <s v="Pendrive"/>
    <s v="sponge/ poron"/>
    <s v="E6412T"/>
    <s v="D15B"/>
    <s v="Pegatron"/>
    <s v="Tak"/>
    <s v="-"/>
    <n v="3"/>
    <m/>
  </r>
  <r>
    <x v="275"/>
    <s v="-"/>
    <n v="30020395"/>
    <s v="-"/>
    <s v="-"/>
    <s v="Touch / NON GLARE"/>
    <s v="64 GB eMMC; 500 GB HDD"/>
    <s v="4 GB"/>
    <s v="Celeron N2940"/>
    <s v="1,83 -2,25 GHz"/>
    <s v="Win 10"/>
    <x v="160"/>
    <s v="Pendrive Tab 3.0"/>
    <s v="Pendrivepodłączyc do tabletu!!!"/>
    <s v="P2214T"/>
    <s v="T11M"/>
    <s v="Pegatron"/>
    <s v="Tak"/>
    <s v="-"/>
    <n v="1"/>
    <m/>
  </r>
  <r>
    <x v="276"/>
    <s v="-"/>
    <n v="30020336"/>
    <s v="-"/>
    <s v="-"/>
    <s v="Touch / NON GLARE"/>
    <s v="64 GB eMMC; 500 GB HDD"/>
    <s v="4 GB"/>
    <s v="Intel Pentium  N3540"/>
    <s v="2,16 GHz"/>
    <s v="Win 10"/>
    <x v="161"/>
    <s v="Pendrive"/>
    <s v="BACK COVER AKOYA!!!"/>
    <s v="S6214T"/>
    <s v="T15M"/>
    <s v="Pegatron"/>
    <s v="Tak"/>
    <s v="-"/>
    <n v="1"/>
    <m/>
  </r>
  <r>
    <x v="277"/>
    <s v="-"/>
    <n v="30020706"/>
    <s v="-"/>
    <s v="-"/>
    <s v="Touch /NON GLARE"/>
    <s v=";1 TB HDD"/>
    <s v="4 GB"/>
    <s v="Intel Pentium 3805U "/>
    <s v="1,90 GHz"/>
    <s v="Win 10"/>
    <x v="162"/>
    <s v="Pendrive"/>
    <s v="Shipping mode"/>
    <s v="E7416T"/>
    <s v="D17D"/>
    <s v="Pegatron"/>
    <s v="Tak"/>
    <s v="-"/>
    <n v="3"/>
    <m/>
  </r>
  <r>
    <x v="278"/>
    <s v="-"/>
    <n v="30017939"/>
    <s v="-"/>
    <s v="-"/>
    <s v="Touch / NON GLARE"/>
    <s v="64 GB eMMC; 500 GB HDD"/>
    <s v="4 GB"/>
    <s v="Intel Pentium  N3520"/>
    <s v="2,16 GHz"/>
    <s v="Win 8.1"/>
    <x v="163"/>
    <s v="HDD (formatowanie pamieci Flash)"/>
    <s v="BACK COVER AKOYA!!!"/>
    <s v="S6214T"/>
    <s v="T15M"/>
    <s v="Pegatron"/>
    <s v="Tak"/>
    <s v="-"/>
    <n v="1"/>
    <m/>
  </r>
  <r>
    <x v="279"/>
    <s v="-"/>
    <n v="30019354"/>
    <s v="-"/>
    <s v="-"/>
    <s v="Touch / NON GLARE"/>
    <s v="64 GB eMMC; 500 GB HDD"/>
    <s v="4 GB"/>
    <s v="Intel Pentium  N3530"/>
    <s v="2,16 GHz"/>
    <s v="Win 8.1"/>
    <x v="163"/>
    <s v="HDD (formatowanie pamieci Flash)"/>
    <s v="Sticker WINDOWS 8, BACK COVER AKOYA!!!  Shipping mode. (T15)"/>
    <s v="S6214T"/>
    <s v="T15M"/>
    <s v="Pegatron"/>
    <s v="Tak"/>
    <s v="-"/>
    <n v="1"/>
    <m/>
  </r>
  <r>
    <x v="280"/>
    <s v="-"/>
    <n v="30018243"/>
    <s v="-"/>
    <s v="-"/>
    <s v="Touch / NON GLARE"/>
    <s v=";500 GB SSHD"/>
    <s v="4 GB"/>
    <s v="Intel Celeron  N2920"/>
    <s v="1,86 GHz"/>
    <s v="Win 8.1"/>
    <x v="93"/>
    <s v="HDD"/>
    <s v="-"/>
    <s v="E6240T"/>
    <s v="C15M"/>
    <s v="Pegatron"/>
    <s v="Nie"/>
    <s v="-"/>
    <n v="3"/>
    <m/>
  </r>
  <r>
    <x v="281"/>
    <s v="-"/>
    <n v="30018791"/>
    <s v="-"/>
    <s v="-"/>
    <s v="Matowy"/>
    <s v=";500 GB SSHD"/>
    <s v="4 GB"/>
    <s v="Intel Pentium  N3530"/>
    <s v="2,16 GHz"/>
    <s v="Win 8.1"/>
    <x v="164"/>
    <s v="HDD"/>
    <s v="-"/>
    <s v="E7226"/>
    <s v="C17M"/>
    <s v="Pegatron"/>
    <s v="Nie"/>
    <s v="-"/>
    <n v="3"/>
    <m/>
  </r>
  <r>
    <x v="282"/>
    <s v="-"/>
    <n v="30020418"/>
    <s v="-"/>
    <s v="-"/>
    <s v="Touch/GLARE"/>
    <s v="64 GB eMMC;"/>
    <s v="2 GB"/>
    <s v="Atom Z3735F"/>
    <s v="1,33-1,83 Ghz"/>
    <s v="Win 8.1"/>
    <x v="146"/>
    <s v="Pendrive"/>
    <s v="BIOS!!!"/>
    <s v="E1234T"/>
    <s v="E123xT"/>
    <s v="Bitland"/>
    <s v="Nie"/>
    <s v="-"/>
    <s v="-"/>
    <m/>
  </r>
  <r>
    <x v="283"/>
    <s v="-"/>
    <n v="30018289"/>
    <s v="-"/>
    <s v="-"/>
    <s v="Touch / NON GLARE"/>
    <s v=";500 GB HDD"/>
    <s v="4 GB"/>
    <s v="Intel Celeron  N2807"/>
    <s v="1,58 GHz"/>
    <s v="Win 8.1"/>
    <x v="165"/>
    <s v="HDD"/>
    <s v="Licencja Office 8.1"/>
    <s v="E1232T"/>
    <s v="Skoda"/>
    <s v="Inventec"/>
    <s v="Nie"/>
    <s v="-"/>
    <n v="1"/>
    <m/>
  </r>
  <r>
    <x v="284"/>
    <s v="-"/>
    <n v="30019126"/>
    <s v="-"/>
    <s v="-"/>
    <s v="Touch / NON GLARE"/>
    <s v=";500 GB SSHD"/>
    <s v="4 GB"/>
    <s v="Intel Celeron  N2930"/>
    <s v="1,83 GHz"/>
    <s v="Win 8.1"/>
    <x v="93"/>
    <s v="HDD"/>
    <s v="-"/>
    <s v="E6240T"/>
    <s v="C15M"/>
    <s v="Pegatron"/>
    <s v="Nie"/>
    <s v="-"/>
    <n v="3"/>
    <m/>
  </r>
  <r>
    <x v="285"/>
    <s v="-"/>
    <n v="30018247"/>
    <s v="-"/>
    <s v="-"/>
    <s v="Matowy"/>
    <s v=";500 GB HDD"/>
    <s v="4 GB"/>
    <s v="Intel Celeron  N2930"/>
    <s v="1,83 GHz"/>
    <s v="Win 8.1"/>
    <x v="166"/>
    <s v="HDD"/>
    <s v="-"/>
    <s v="E7226"/>
    <s v="C17M"/>
    <s v="Pegatron"/>
    <s v="Nie"/>
    <s v="-"/>
    <n v="3"/>
    <m/>
  </r>
  <r>
    <x v="286"/>
    <s v="-"/>
    <n v="30018792"/>
    <s v="-"/>
    <s v="-"/>
    <s v="Matowy"/>
    <s v=";500 GB SSHD"/>
    <s v="4 GB"/>
    <s v="Intel Pentium  N3530"/>
    <s v="2,16 GHz"/>
    <s v="Win 8.1"/>
    <x v="166"/>
    <s v="HDD"/>
    <s v="-"/>
    <s v="E6240T"/>
    <s v="C15M"/>
    <s v="Pegatron"/>
    <s v="Nie"/>
    <s v="-"/>
    <n v="3"/>
    <m/>
  </r>
  <r>
    <x v="287"/>
    <s v="-"/>
    <n v="30019399"/>
    <s v="-"/>
    <s v="-"/>
    <s v="Matowy"/>
    <s v=";1 TB HDD"/>
    <s v="4 GB"/>
    <s v="Intel Core i3 - 4100M  "/>
    <s v="2,16 GHz"/>
    <s v="Win 8.1"/>
    <x v="167"/>
    <s v="HDD"/>
    <s v="-"/>
    <s v="P6648"/>
    <s v="C15B"/>
    <s v="Pegatron"/>
    <s v="Nie"/>
    <s v="-"/>
    <n v="3"/>
    <m/>
  </r>
  <r>
    <x v="288"/>
    <s v="-"/>
    <n v="30018400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4T"/>
    <s v="T11M"/>
    <s v="Pegatron"/>
    <s v="Tak"/>
    <s v="-"/>
    <n v="1"/>
    <m/>
  </r>
  <r>
    <x v="289"/>
    <s v="-"/>
    <n v="30024299"/>
    <s v="-"/>
    <s v="Srebrny"/>
    <s v="Matowy 1080p"/>
    <s v="64 GB eMMC;"/>
    <s v="2 GB"/>
    <s v="Atom Z3735F"/>
    <s v="1,33-1,83 Ghz"/>
    <s v="Win 10"/>
    <x v="15"/>
    <s v="Pendrive"/>
    <s v="-"/>
    <s v="S2217"/>
    <s v="EF20"/>
    <s v="ECS"/>
    <s v="Nie"/>
    <s v="-"/>
    <s v="bez"/>
    <m/>
  </r>
  <r>
    <x v="290"/>
    <s v="PNB C1011-I0N1"/>
    <n v="30021034"/>
    <n v="30019276"/>
    <s v="-"/>
    <s v="NON GLARE"/>
    <s v="64 GB eMMC;"/>
    <s v="2 GB"/>
    <s v="Atom Z3735F"/>
    <s v="1,33-1,83 Ghz"/>
    <s v="Win 10"/>
    <x v="24"/>
    <s v="Pendrive"/>
    <s v="KB - NL / zamiast recovery re"/>
    <s v="C1011"/>
    <s v="EF20"/>
    <s v="ECS"/>
    <s v="Nie"/>
    <s v="-"/>
    <s v="-"/>
    <m/>
  </r>
  <r>
    <x v="291"/>
    <s v="-"/>
    <n v="30018767"/>
    <s v="-"/>
    <s v="-"/>
    <s v="Touch / NON GLARE"/>
    <s v="64 GB eMMC; 500 GB HDD"/>
    <s v="4 GB"/>
    <s v="Intel Pentium  N3540"/>
    <s v="2,16 GHz"/>
    <s v="Win 8.1"/>
    <x v="92"/>
    <s v="HDD"/>
    <s v="BACK COVER AKOYA!!!"/>
    <s v="S6214T"/>
    <s v="T15M"/>
    <s v="Pegatron"/>
    <s v="Tak"/>
    <s v="-"/>
    <n v="1"/>
    <m/>
  </r>
  <r>
    <x v="292"/>
    <s v="PNB C1011-I0B1"/>
    <n v="30023741"/>
    <n v="30019277"/>
    <s v="-"/>
    <s v="Matowy"/>
    <s v="64 GB eMMC;"/>
    <s v="2 GB"/>
    <s v="Atom Z3735F"/>
    <s v="1,33-1,83 Ghz"/>
    <s v="Win 10"/>
    <x v="24"/>
    <s v="Pendrive"/>
    <s v="KB - BE"/>
    <s v="C1011"/>
    <s v="EF20"/>
    <s v="ECS"/>
    <s v="Nie"/>
    <s v="-"/>
    <s v="-"/>
    <m/>
  </r>
  <r>
    <x v="293"/>
    <s v="PMM C1008-I01B1"/>
    <n v="30021048"/>
    <n v="30019300"/>
    <s v="-"/>
    <s v="Touch/GLARE"/>
    <s v="32 GB eMMC;"/>
    <s v="2 GB"/>
    <s v="Atom Z3735F"/>
    <s v="1,33-1,83 Ghz"/>
    <s v="Win 10"/>
    <x v="150"/>
    <s v="Pendrive"/>
    <s v="KB - BE /  zamiast recovery re"/>
    <s v="C1008"/>
    <s v="WMBT1031"/>
    <s v="Tongfang"/>
    <s v="Nie"/>
    <s v="-"/>
    <s v="-"/>
    <m/>
  </r>
  <r>
    <x v="294"/>
    <s v="-"/>
    <n v="30019510"/>
    <s v="-"/>
    <s v="-"/>
    <s v="Matowy"/>
    <s v=";1 TB HDD"/>
    <s v="6 GB"/>
    <s v="IntelCore i5-4210M "/>
    <s v="2,60 GHz"/>
    <s v="Win 8.1"/>
    <x v="168"/>
    <s v="HDD"/>
    <s v="-"/>
    <s v="P7632"/>
    <s v="C17B"/>
    <s v="Pegatron"/>
    <s v="Nie"/>
    <s v="-"/>
    <n v="3"/>
    <m/>
  </r>
  <r>
    <x v="295"/>
    <s v="PMM C1010-I01B1"/>
    <n v="30021100"/>
    <n v="30019279"/>
    <s v="-"/>
    <s v="Touch/GLARE"/>
    <s v="64 GB eMMC;"/>
    <s v="2 GB"/>
    <s v="Atom Z3735F"/>
    <s v="1,33-1,83 Ghz"/>
    <s v="Win 10"/>
    <x v="150"/>
    <s v="Pendrive"/>
    <s v="-"/>
    <s v="C1010"/>
    <s v="WMBT1031"/>
    <s v="Tongfang"/>
    <s v="Nie"/>
    <s v="-"/>
    <s v="-"/>
    <m/>
  </r>
  <r>
    <x v="296"/>
    <s v=" PNB C1014-I1B1"/>
    <n v="30021039"/>
    <n v="30019278"/>
    <s v="-"/>
    <s v="NON GLARE"/>
    <s v="32 GB eMMC;"/>
    <s v="2 GB"/>
    <s v="Celeron N2940"/>
    <s v="1,83 -2,25 GHz"/>
    <s v="Win 10"/>
    <x v="151"/>
    <s v="Pendrive"/>
    <s v="Sprawdzić czy w kieszani nie ma dodatkowegoHDD/ KB - BE /  zamiast recovery re /problem z kamera -&gt; wl/ wylacz klawiszem Fn"/>
    <s v="C1014"/>
    <s v="NDBT1401"/>
    <s v="Tongfang"/>
    <s v="Nie"/>
    <s v="-"/>
    <s v="-"/>
    <m/>
  </r>
  <r>
    <x v="297"/>
    <s v="PNB P1115-I5B1"/>
    <n v="30021072"/>
    <n v="30019301"/>
    <s v="-"/>
    <s v="NON GLARE"/>
    <s v=";1 TB SSHD"/>
    <s v="8 GB"/>
    <s v="i5-5200U"/>
    <s v="2,2, GHz"/>
    <s v="Win 10"/>
    <x v="124"/>
    <s v="Pendrive"/>
    <s v="KB -BE"/>
    <s v="P1115"/>
    <s v="Polo Aluminium/Plastic"/>
    <s v="Inventec"/>
    <s v="Nie"/>
    <s v="-"/>
    <s v="-"/>
    <m/>
  </r>
  <r>
    <x v="298"/>
    <s v="-"/>
    <n v="30018939"/>
    <s v="-"/>
    <s v="-"/>
    <s v="Touch /NON GLARE"/>
    <s v=";500 GB HDD"/>
    <s v="4 GB"/>
    <s v="Intel Pentium  3558U"/>
    <s v="1,70 GHz"/>
    <s v="Win 8.1"/>
    <x v="169"/>
    <s v="HDD"/>
    <s v="sponge/ poron"/>
    <s v="E6412T"/>
    <s v="D15B"/>
    <s v="Pegatron"/>
    <s v="Tak"/>
    <s v="-"/>
    <n v="3"/>
    <m/>
  </r>
  <r>
    <x v="299"/>
    <s v="-"/>
    <n v="30019410"/>
    <s v="-"/>
    <s v="-"/>
    <s v="Matowy"/>
    <s v=";500 GB HDD"/>
    <s v="4 GB"/>
    <s v="Intel Pentium  N3540"/>
    <s v="2,16 GHz"/>
    <s v="Win 8.1"/>
    <x v="93"/>
    <s v="HDD"/>
    <s v="-"/>
    <s v="E6240"/>
    <s v="C15M"/>
    <s v="Pegatron"/>
    <s v="Nie"/>
    <s v="-"/>
    <n v="3"/>
    <m/>
  </r>
  <r>
    <x v="300"/>
    <s v="-"/>
    <n v="30021352"/>
    <s v="-"/>
    <s v="-"/>
    <s v="Matowy"/>
    <s v=";500 GB HDD"/>
    <s v="4 GB"/>
    <s v="Intel Mobile Celeron N2840"/>
    <s v="2,16 GHz"/>
    <s v="Win 10"/>
    <x v="98"/>
    <s v="Pendrive"/>
    <s v="-"/>
    <s v="E6239"/>
    <s v="C15M"/>
    <s v="Pegatron"/>
    <s v="Nie"/>
    <s v="-"/>
    <n v="3"/>
    <m/>
  </r>
  <r>
    <x v="301"/>
    <s v="-"/>
    <n v="30019989"/>
    <s v="-"/>
    <s v="-"/>
    <s v="Matowy"/>
    <s v="64 GB eMMc; 1 TB HDD"/>
    <s v="8 GB"/>
    <s v="IntelCore i7-4710MQ "/>
    <s v="2,50 GHz"/>
    <s v="Win 8.1"/>
    <x v="170"/>
    <s v="Pendrive"/>
    <s v="-"/>
    <s v="X7830"/>
    <s v="MS-1763"/>
    <s v="MSI"/>
    <s v="Nie"/>
    <s v="-"/>
    <n v="3"/>
    <m/>
  </r>
  <r>
    <x v="302"/>
    <s v="-"/>
    <n v="30019222"/>
    <s v="-"/>
    <s v="-"/>
    <s v="Matowy"/>
    <s v=";500 GB HDD"/>
    <s v="4 GB"/>
    <s v="i5-5200U"/>
    <s v="2,2, GHz"/>
    <s v="Win 8.1"/>
    <x v="171"/>
    <s v="HDD / Kieszeń HDD"/>
    <s v="Shipping mode"/>
    <s v="E7416"/>
    <s v="D17D"/>
    <s v="Pegatron"/>
    <s v="Tak"/>
    <s v="-"/>
    <n v="3"/>
    <m/>
  </r>
  <r>
    <x v="303"/>
    <s v="PNB P1117-I7B1"/>
    <n v="30021087"/>
    <n v="30019324"/>
    <s v="-"/>
    <s v="NON GLARE"/>
    <s v="128 GB SSD; 1 TB HDD"/>
    <s v="12 GB"/>
    <s v="Intel Core i7-5500U "/>
    <s v="2,4 Ghz"/>
    <s v="Win 10"/>
    <x v="172"/>
    <s v="Pendrive"/>
    <s v="-"/>
    <s v="P1117"/>
    <s v="D17D"/>
    <s v="Pegatron"/>
    <s v="Tak"/>
    <s v="-"/>
    <s v="-"/>
    <m/>
  </r>
  <r>
    <x v="304"/>
    <s v="-"/>
    <n v="30019717"/>
    <s v="-"/>
    <s v="-"/>
    <s v="Touch / NON GLARE"/>
    <s v=";500 GB HDD"/>
    <s v="4 GB"/>
    <s v="Intel Celeron  N2808"/>
    <s v="1,58 GHz"/>
    <s v="Win 8.1"/>
    <x v="165"/>
    <s v="HDD"/>
    <s v="brak Licencja Office 8.1"/>
    <s v="E1232T"/>
    <s v="Skoda"/>
    <s v="Inventec"/>
    <s v="Nie"/>
    <s v="-"/>
    <n v="1"/>
    <m/>
  </r>
  <r>
    <x v="305"/>
    <s v="PNB P1017-I5B1"/>
    <n v="30021059"/>
    <n v="30019323"/>
    <s v="-"/>
    <s v="NON GLARE"/>
    <s v=";1 TB SSHD"/>
    <s v="8 GB"/>
    <s v="i5-5200U"/>
    <s v="2,2, GHz"/>
    <s v="Win 10"/>
    <x v="172"/>
    <s v="Pendrive"/>
    <s v="-"/>
    <s v="P1017"/>
    <s v="D17D"/>
    <s v="Pegatron"/>
    <s v="Tak"/>
    <s v="-"/>
    <s v="-"/>
    <m/>
  </r>
  <r>
    <x v="306"/>
    <s v="PNB P1115-I7B1"/>
    <n v="30021058"/>
    <n v="30019317"/>
    <s v="-"/>
    <s v="NON GLARE"/>
    <s v="128 GB SSD; 1 TB HDD"/>
    <s v="12 GB"/>
    <s v="Intel Core i7-5500U "/>
    <s v="2,4 Ghz"/>
    <s v="Win 10"/>
    <x v="124"/>
    <s v="Pendrive"/>
    <s v="wymiana zawiasów, top case  /KB -  BE"/>
    <s v="P1115"/>
    <s v="Polo Aluminium/Plastic"/>
    <s v="Inventec"/>
    <s v="Nie"/>
    <s v="-"/>
    <s v="-"/>
    <m/>
  </r>
  <r>
    <x v="307"/>
    <s v="PNB C1015-I5B1"/>
    <n v="30021057"/>
    <n v="30019316"/>
    <s v="-"/>
    <s v="NON GLARE"/>
    <s v=";500 GB SSHD"/>
    <s v="6 GB"/>
    <s v="i5-5200U"/>
    <s v="2,2, GHz"/>
    <s v="Win 10"/>
    <x v="154"/>
    <s v="Pendrive"/>
    <s v="wymiana zawiasów, top case  /KB -  BE"/>
    <s v="C1015"/>
    <s v="Polo Aluminium/Plastic"/>
    <s v="Inventec"/>
    <s v="Nie"/>
    <s v="-"/>
    <s v="-"/>
    <m/>
  </r>
  <r>
    <x v="308"/>
    <s v="-"/>
    <n v="30021195"/>
    <s v="-"/>
    <s v="-"/>
    <s v="Matowy"/>
    <s v="32 GB eMMC;"/>
    <s v="2 GB"/>
    <s v="Atom Z3735F"/>
    <s v="1,33-1,83 Ghz"/>
    <s v="Win 10"/>
    <x v="15"/>
    <s v="Pendrive"/>
    <s v="Zamiast Recovery robimy RE-!!!"/>
    <s v="S2217"/>
    <s v="EF20"/>
    <s v="ECS"/>
    <s v="Nie"/>
    <s v="-"/>
    <s v="bez"/>
    <m/>
  </r>
  <r>
    <x v="309"/>
    <s v="-"/>
    <n v="30023027"/>
    <s v="-"/>
    <s v="-"/>
    <s v="Touch"/>
    <s v="64 GB eMMC;"/>
    <s v="2 GB"/>
    <s v="Atom Z3735F"/>
    <s v="1,33-1,83 Ghz"/>
    <s v="Win 10"/>
    <x v="173"/>
    <s v="Pendrive"/>
    <s v="Re"/>
    <s v="E2211T"/>
    <s v="WMBT1122"/>
    <s v="Tongfang"/>
    <s v="Nie"/>
    <s v="-"/>
    <n v="4"/>
    <m/>
  </r>
  <r>
    <x v="310"/>
    <s v="-"/>
    <n v="30019125"/>
    <s v="-"/>
    <s v="-"/>
    <s v="Touch / NON GLARE"/>
    <s v="64 GB eMMC; 500 GB HDD"/>
    <s v="4 GB"/>
    <s v="Celeron N2940"/>
    <s v="1,83 -2,25 GHz"/>
    <s v="Win 8.1"/>
    <x v="96"/>
    <s v="HDD"/>
    <s v="Test akku, Fimware SATA dock"/>
    <s v="P2214T"/>
    <s v="T11M"/>
    <s v="Pegatron"/>
    <s v="Tak"/>
    <s v="-"/>
    <n v="1"/>
    <m/>
  </r>
  <r>
    <x v="311"/>
    <s v="-"/>
    <n v="30019223"/>
    <s v="-"/>
    <s v="-"/>
    <s v="Touch /NON GLARE"/>
    <s v=";1 TB HDD"/>
    <s v="4 GB"/>
    <s v="Intel Pentium 3805U "/>
    <s v="1,90 GHz"/>
    <s v="Win 8.1"/>
    <x v="171"/>
    <s v="Kieszeń USB"/>
    <s v="Shipping mode"/>
    <s v="E7416T"/>
    <s v="D17D"/>
    <s v="Pegatron"/>
    <s v="Tak"/>
    <s v="-"/>
    <n v="3"/>
    <m/>
  </r>
  <r>
    <x v="312"/>
    <s v="-"/>
    <n v="30021203"/>
    <s v="-"/>
    <s v="-"/>
    <s v="Matowy"/>
    <s v=";500 GB HDD"/>
    <s v="4 GB"/>
    <s v="Intel Pentium 3805U "/>
    <s v="1,90 GHz"/>
    <s v="Win 10"/>
    <x v="174"/>
    <s v="Pendrive / HDD"/>
    <s v="sponge/ poron"/>
    <s v="E6416"/>
    <s v="D15D"/>
    <s v="Pegatron"/>
    <s v="Tak"/>
    <s v="-"/>
    <n v="3"/>
    <m/>
  </r>
  <r>
    <x v="313"/>
    <s v="-"/>
    <s v="30020335, 30024590 (AUS)"/>
    <s v="-"/>
    <s v="-"/>
    <s v="Matowy"/>
    <s v=";1 TB HDD"/>
    <s v="4 GB"/>
    <s v="Intel Pentium 3805U "/>
    <s v="1,90 GHz"/>
    <s v="Win 8.1"/>
    <x v="175"/>
    <s v="Kieszeń / Pendrive"/>
    <s v="sponge/ poron"/>
    <s v="E6416"/>
    <s v="D15D"/>
    <s v="Pegatron"/>
    <s v="Tak"/>
    <s v="-"/>
    <n v="3"/>
    <m/>
  </r>
  <r>
    <x v="314"/>
    <s v="PNB S1013-I5N1"/>
    <n v="30021101"/>
    <n v="30019463"/>
    <s v="-"/>
    <s v="NON GLARE"/>
    <s v="256 GB SSD;"/>
    <s v="8 GB"/>
    <s v="i5-5200U"/>
    <s v="2,2, GHz"/>
    <s v="Win 10"/>
    <x v="176"/>
    <s v="Pendrive"/>
    <s v="KB - NL"/>
    <s v="S1013"/>
    <s v="MS-13D1"/>
    <s v="MSI"/>
    <s v="Nie"/>
    <s v="-"/>
    <s v="-"/>
    <m/>
  </r>
  <r>
    <x v="315"/>
    <s v="-"/>
    <n v="30022770"/>
    <s v="-"/>
    <s v="-"/>
    <s v="Matowy"/>
    <s v="32 GB eMMC;"/>
    <s v="2 GB"/>
    <s v="Atom Z3735F"/>
    <s v="1,33-1,83 Ghz"/>
    <s v="Win 10"/>
    <x v="15"/>
    <s v="Pendrive"/>
    <s v="Re"/>
    <s v="S2217"/>
    <s v="EF20"/>
    <s v="ECS"/>
    <s v="Nie"/>
    <s v="-"/>
    <s v="bez"/>
    <m/>
  </r>
  <r>
    <x v="316"/>
    <s v="-"/>
    <n v="30021822"/>
    <s v="-"/>
    <s v="-"/>
    <s v="Matowy"/>
    <s v="32 GB eMMC;"/>
    <s v="2 GB"/>
    <s v="Atom Z3735F"/>
    <s v="1,33-1,83 Ghz"/>
    <s v="Win 10"/>
    <x v="15"/>
    <s v="Pendrive"/>
    <s v="Zamiast Recovery robimy RE-!!!"/>
    <s v="S2217"/>
    <s v="EF20"/>
    <s v="ECS"/>
    <s v="Nie"/>
    <s v="-"/>
    <s v="bez"/>
    <m/>
  </r>
  <r>
    <x v="317"/>
    <s v="-"/>
    <n v="30019990"/>
    <s v="-"/>
    <s v="-"/>
    <s v="Matowy"/>
    <s v=";1 TB HDD"/>
    <s v="4 GB"/>
    <s v="i5-5200U"/>
    <s v="2,2, GHz"/>
    <s v="Win 8.1"/>
    <x v="175"/>
    <s v="Kieszeń / Pendrive"/>
    <s v="sponge/ poron"/>
    <s v="E6416"/>
    <s v="D15D"/>
    <s v="Pegatron"/>
    <s v="Tak"/>
    <s v="-"/>
    <n v="3"/>
    <m/>
  </r>
  <r>
    <x v="318"/>
    <s v="-"/>
    <n v="30019224"/>
    <s v="-"/>
    <s v="-"/>
    <s v="Matowy"/>
    <s v=";500 GB HDD"/>
    <s v="4 GB"/>
    <s v="Intel Core i3-5010U "/>
    <s v="2,10 GHz"/>
    <s v="Win 8.1"/>
    <x v="177"/>
    <s v="HDD"/>
    <s v="sponge/ poron"/>
    <s v="E6416"/>
    <s v="D15D"/>
    <s v="Pegatron"/>
    <s v="Tak"/>
    <s v="-"/>
    <n v="3"/>
    <m/>
  </r>
  <r>
    <x v="319"/>
    <s v="-"/>
    <n v="30020376"/>
    <s v="-"/>
    <s v="Czarny"/>
    <s v="Matowy 1080p"/>
    <s v="64 GB eMMC;"/>
    <s v="2 GB"/>
    <s v="Atom Z3735F"/>
    <s v="1,33-1,83 Ghz"/>
    <s v="Win 10"/>
    <x v="15"/>
    <s v="Pendrive"/>
    <s v="-"/>
    <s v="S2217"/>
    <s v="EF20"/>
    <s v="ECS"/>
    <s v="Nie"/>
    <s v="-"/>
    <s v="bez"/>
    <m/>
  </r>
  <r>
    <x v="320"/>
    <s v="-"/>
    <n v="30019718"/>
    <s v="-"/>
    <s v="-"/>
    <s v="Matowy"/>
    <s v=";1 TB HDD"/>
    <s v="4 GB"/>
    <s v="i5-5200U"/>
    <s v="2,2, GHz"/>
    <s v="Win 8.1"/>
    <x v="175"/>
    <s v="Kieszeń / Pendrive"/>
    <s v="sponge/ poron"/>
    <s v="E6416"/>
    <s v="D15D"/>
    <s v="Pegatron"/>
    <s v="Tak"/>
    <s v="-"/>
    <n v="3"/>
    <m/>
  </r>
  <r>
    <x v="321"/>
    <s v="-"/>
    <n v="30019719"/>
    <s v="-"/>
    <s v="-"/>
    <s v="Matowy"/>
    <s v=";1 TB SSHD"/>
    <s v="4 GB"/>
    <s v="Intel Pentium 3805U "/>
    <s v="1,90 GHz"/>
    <s v="Win 8.1"/>
    <x v="178"/>
    <s v="HDD"/>
    <s v="-"/>
    <s v="-"/>
    <s v="D17D"/>
    <s v="Pegatron"/>
    <s v="Tak"/>
    <s v="-"/>
    <n v="3"/>
    <m/>
  </r>
  <r>
    <x v="322"/>
    <s v="-"/>
    <n v="30023886"/>
    <s v="-"/>
    <s v="Czarny, gumowany"/>
    <s v="Matowy"/>
    <s v="128 GB SSD; 1 TB HDD"/>
    <s v="16 GB"/>
    <s v="i7-6700HQ"/>
    <s v="2,6 GHz"/>
    <s v="Win 10"/>
    <x v="179"/>
    <s v="Pendrive"/>
    <s v="BIOS: Najpierw odpalić Wmset, Potem z konsoli amin. Flashmewinx64."/>
    <s v="x7841"/>
    <s v="P670 RE1-M"/>
    <s v="Clevo"/>
    <s v="Nie"/>
    <s v="-"/>
    <n v="3"/>
    <m/>
  </r>
  <r>
    <x v="323"/>
    <s v="-"/>
    <n v="30019730"/>
    <s v="-"/>
    <s v="-"/>
    <s v="Matowy"/>
    <s v=";1 TB HDD"/>
    <s v="4 GB"/>
    <s v="i5-5200U"/>
    <s v="2,2, GHz"/>
    <s v="Win 8.1"/>
    <x v="175"/>
    <s v="Kieszeń / Pendrive "/>
    <s v="sponge/ poron/ img z kieszeni usb 2.0?"/>
    <s v="E6416"/>
    <s v="D15D"/>
    <s v="Pegatron"/>
    <s v="Tak"/>
    <s v="-"/>
    <n v="3"/>
    <m/>
  </r>
  <r>
    <x v="324"/>
    <s v="-"/>
    <n v="30021204"/>
    <s v="-"/>
    <s v="-"/>
    <s v="Touch/GLARE"/>
    <s v="64 GB eMMC;"/>
    <s v="2 GB"/>
    <s v="Atom Z3735F"/>
    <s v="1,33-1,83 Ghz"/>
    <s v="Win 8.1"/>
    <x v="146"/>
    <s v="Pendrive"/>
    <s v="BIOS!!!"/>
    <s v="E1234T"/>
    <s v="E123xT"/>
    <s v="Bitland"/>
    <s v="Nie"/>
    <s v="-"/>
    <s v="-"/>
    <m/>
  </r>
  <r>
    <x v="325"/>
    <s v="-"/>
    <n v="30019986"/>
    <s v="-"/>
    <s v="-"/>
    <s v="Matowy"/>
    <s v=";500 GB HDD"/>
    <s v="2 GB"/>
    <s v="Intel Pentium  N3540"/>
    <s v="2,16 GHz"/>
    <s v="Win 8.1"/>
    <x v="147"/>
    <s v="Pendrive / HDD"/>
    <s v="Nowe MB magą się nie włączać dopóki nie poklika się kila razy we włącznik."/>
    <s v="E4214"/>
    <s v="NDBT1401"/>
    <s v="Tongfang"/>
    <s v="Nie"/>
    <s v="-"/>
    <n v="4"/>
    <m/>
  </r>
  <r>
    <x v="326"/>
    <s v="-"/>
    <n v="30022456"/>
    <s v="-"/>
    <s v="-"/>
    <s v="Matowy"/>
    <s v=";1 TB HDD"/>
    <s v="8 GB"/>
    <s v="Intel Core M 5Y31"/>
    <s v="0,9 GHz "/>
    <s v="Win 10"/>
    <x v="180"/>
    <s v="Pendrive"/>
    <s v="-"/>
    <s v="S6417"/>
    <s v="Golf"/>
    <s v="Inventec"/>
    <s v="Nie"/>
    <s v="-"/>
    <n v="1"/>
    <m/>
  </r>
  <r>
    <x v="327"/>
    <s v="-"/>
    <n v="30022647"/>
    <s v="-"/>
    <s v="-"/>
    <s v="Matowy"/>
    <s v="256 GB SSD;"/>
    <s v="8 GB"/>
    <s v="Intel Core M 5Y31"/>
    <s v="0,9 GHz "/>
    <s v="Win 10"/>
    <x v="180"/>
    <s v="Pendrive"/>
    <s v="-"/>
    <s v="S6417"/>
    <s v="Golf"/>
    <s v="Inventec"/>
    <s v="Nie"/>
    <s v="-"/>
    <n v="1"/>
    <m/>
  </r>
  <r>
    <x v="328"/>
    <s v="-"/>
    <n v="30019991"/>
    <s v="-"/>
    <s v="-"/>
    <s v="Matowy"/>
    <s v=";500 GB HDD"/>
    <s v="4 GB"/>
    <s v="Intel Core i3-5010U "/>
    <s v="2,10 GHz"/>
    <s v="Win 10"/>
    <x v="174"/>
    <s v="Pendrive / HDD"/>
    <s v="sponge/ poron"/>
    <s v="E6416"/>
    <s v="D15D"/>
    <s v="Pegatron"/>
    <s v="Tak"/>
    <s v="-"/>
    <n v="3"/>
    <m/>
  </r>
  <r>
    <x v="329"/>
    <s v="-"/>
    <n v="30019992"/>
    <s v="-"/>
    <s v="-"/>
    <s v="Matowy"/>
    <s v=";1 TB SSHD"/>
    <s v="4 GB"/>
    <s v="i5-5200U"/>
    <s v="2,2, GHz"/>
    <s v="Win 8.1"/>
    <x v="178"/>
    <s v="HDD"/>
    <s v="Shipping mode"/>
    <s v="E7416"/>
    <s v="D17D"/>
    <s v="Pegatron"/>
    <s v="Tak"/>
    <s v="-"/>
    <n v="3"/>
    <m/>
  </r>
  <r>
    <x v="330"/>
    <s v="-"/>
    <n v="30020397"/>
    <s v="-"/>
    <s v="-"/>
    <s v="GLARE"/>
    <s v="64 GB eMMC;"/>
    <s v="2 GB"/>
    <s v="Atom Z3735F"/>
    <s v="1,33-1,83 Ghz"/>
    <s v="Win 10"/>
    <x v="15"/>
    <s v="Pendrive"/>
    <s v="Zamiast Recovery robimy RE-!!! AUDIO OUT Tylko Słuchawki!"/>
    <s v="S2217"/>
    <s v="EF20"/>
    <s v="ECS"/>
    <s v="Nie"/>
    <s v="-"/>
    <s v="bez"/>
    <m/>
  </r>
  <r>
    <x v="331"/>
    <s v="-"/>
    <n v="30020164"/>
    <s v="-"/>
    <s v="-"/>
    <s v="GLARE"/>
    <s v="64 GB eMMC;"/>
    <s v="2 GB"/>
    <s v="Atom Z3735F"/>
    <s v="1,33-1,83 Ghz"/>
    <s v="Win 8.1"/>
    <x v="181"/>
    <s v="Pendrive"/>
    <s v="Recovery puszczane z ustawien systemu/ Tylko słuchawki!!!"/>
    <s v="S2218"/>
    <s v="EF20"/>
    <s v="ECS"/>
    <s v="Nie"/>
    <s v="-"/>
    <s v="bez"/>
    <m/>
  </r>
  <r>
    <x v="332"/>
    <s v="-"/>
    <n v="30022899"/>
    <s v="-"/>
    <s v="-"/>
    <s v="Touch / NON GLARE"/>
    <s v="64 GB eMMC;"/>
    <s v="2 GB"/>
    <s v="Atom Z3735F"/>
    <s v="1,33-1,83 Ghz"/>
    <s v="Win 10"/>
    <x v="182"/>
    <s v="Pendrive"/>
    <s v="Shipping mode"/>
    <s v="E1235T"/>
    <s v="1013B"/>
    <s v="Malata"/>
    <s v="Tak"/>
    <s v="-"/>
    <n v="4"/>
    <m/>
  </r>
  <r>
    <x v="333"/>
    <s v="-"/>
    <n v="30020537"/>
    <s v="-"/>
    <s v="-"/>
    <s v="GLARE"/>
    <s v="32 GB eMMC;"/>
    <s v="2 GB"/>
    <s v="Atom Z3735F"/>
    <s v="1,33-1,83 Ghz"/>
    <s v="Win 10"/>
    <x v="15"/>
    <s v="Pendrive"/>
    <s v="Zamiast Recovery robimy RE-!!!  AUDIO-OUT Tylko Słuchawki!!"/>
    <s v="S2218"/>
    <s v="EF20"/>
    <s v="ECS"/>
    <s v="Nie"/>
    <s v="-"/>
    <s v="bez"/>
    <m/>
  </r>
  <r>
    <x v="334"/>
    <s v="-"/>
    <n v="30021778"/>
    <s v="-"/>
    <s v="-"/>
    <s v="Matowy"/>
    <s v="16 GB eMMc;"/>
    <s v="2 GB"/>
    <s v="Rockchip RK3288 Quad-Core Cortex-A17 "/>
    <s v="1,80 GHz"/>
    <s v="Google Chrome OS"/>
    <x v="0"/>
    <s v="Przywracamy oryginalny"/>
    <s v="Przywracamy oryginalny"/>
    <s v="S2013"/>
    <s v="HR-116R"/>
    <s v="Hai"/>
    <s v="Nie"/>
    <s v="-"/>
    <s v="chromebook"/>
    <m/>
  </r>
  <r>
    <x v="335"/>
    <s v="-"/>
    <n v="30019993"/>
    <s v="-"/>
    <s v="-"/>
    <s v="Matowy"/>
    <s v=";1 TB HDD"/>
    <s v="4 GB"/>
    <s v="i5-5200U"/>
    <s v="2,2, GHz"/>
    <s v="Win 10"/>
    <x v="174"/>
    <s v="Pendrive / HDD"/>
    <s v="sponge/ poron"/>
    <s v="E6416"/>
    <s v="D15D"/>
    <s v="Pegatron"/>
    <s v="Tak"/>
    <s v="-"/>
    <n v="3"/>
    <m/>
  </r>
  <r>
    <x v="336"/>
    <s v="-"/>
    <n v="30019722"/>
    <s v="-"/>
    <s v="-"/>
    <s v="Touch/GLARE"/>
    <s v="32 GB eMMC;"/>
    <s v="1 GB"/>
    <s v="Intel Atom  Z3735G"/>
    <s v="1,33 GHz"/>
    <s v="Win 10"/>
    <x v="183"/>
    <s v="Pendrive"/>
    <s v="-"/>
    <s v="E8201T"/>
    <s v="I8880"/>
    <s v="Emdoor"/>
    <s v="Nie"/>
    <s v="-"/>
    <n v="2"/>
    <m/>
  </r>
  <r>
    <x v="337"/>
    <s v="-"/>
    <n v="30020398"/>
    <s v="-"/>
    <s v="-"/>
    <s v="Matowy"/>
    <s v="128 GB SSD; 1 TB HDD"/>
    <s v="6 GB"/>
    <s v="Intel Core i3-5010U "/>
    <s v="2,10 GHz"/>
    <s v="Win 10"/>
    <x v="184"/>
    <s v="Pendrive"/>
    <s v="sponge/ poron"/>
    <s v="P6656"/>
    <s v="D15D"/>
    <s v="Pegatron"/>
    <s v="Tak"/>
    <s v="-"/>
    <n v="3"/>
    <m/>
  </r>
  <r>
    <x v="338"/>
    <s v="-"/>
    <n v="30020536"/>
    <s v="-"/>
    <s v="-"/>
    <s v="Matowy"/>
    <s v="128 GB SSD; 1 TB HDD"/>
    <s v="6 GB"/>
    <s v="Intel Core i5-5257U "/>
    <s v="2,70 GHz"/>
    <s v="Win 10"/>
    <x v="174"/>
    <s v="Pendrive / HDD"/>
    <s v="Firmware SATA SSD!! (Obowiazkowo) sponge/ poron"/>
    <s v="E6418"/>
    <s v="D15D"/>
    <s v="Pegatron"/>
    <s v="Tak"/>
    <s v="-"/>
    <n v="3"/>
    <m/>
  </r>
  <r>
    <x v="339"/>
    <s v="-"/>
    <n v="30020535"/>
    <s v="-"/>
    <s v="-"/>
    <s v="Matowy"/>
    <s v="64 GB eMMC;"/>
    <s v="2 GB"/>
    <s v="Atom Z3735F"/>
    <s v="1,33-1,83 Ghz"/>
    <s v="Win 10"/>
    <x v="15"/>
    <s v="Pendrive"/>
    <s v="Zamiast Recovery robimy RE-!!! AUDIO-COMBO(Słuchawki z mikrofonem)!!"/>
    <s v="S2217"/>
    <s v="EF20"/>
    <s v="ECS"/>
    <s v="Nie"/>
    <s v="-"/>
    <s v="bez"/>
    <m/>
  </r>
  <r>
    <x v="340"/>
    <s v="PNB S1015-I2N2"/>
    <n v="30022968"/>
    <n v="30019851"/>
    <s v="-"/>
    <s v="NON GLARE"/>
    <s v=";500 GB SSHD"/>
    <s v="4 GB"/>
    <s v="Intel Pentium  N3540"/>
    <s v="2,16 GHz"/>
    <s v="Win 10"/>
    <x v="152"/>
    <s v="Pendrive"/>
    <s v="KB - NL"/>
    <s v="S6217 "/>
    <s v="GOLF Plus"/>
    <s v="Inventec"/>
    <s v="Nie"/>
    <s v="-"/>
    <n v="1"/>
    <m/>
  </r>
  <r>
    <x v="341"/>
    <s v="-"/>
    <n v="30020645"/>
    <s v="-"/>
    <s v="-"/>
    <s v="Matowy"/>
    <s v=";500 GB HDD"/>
    <s v="4 GB"/>
    <s v="Celeron 3215U"/>
    <s v="1,70 Ghz"/>
    <s v="Win 10"/>
    <x v="174"/>
    <s v="Pendrive / HDD"/>
    <s v="Shipping mode"/>
    <s v="E7416"/>
    <s v="D17D"/>
    <s v="Pegatron"/>
    <s v="Tak"/>
    <s v="-"/>
    <n v="3"/>
    <m/>
  </r>
  <r>
    <x v="342"/>
    <s v="-"/>
    <n v="30020796"/>
    <s v="-"/>
    <s v="-"/>
    <s v="Matowy"/>
    <s v="256 GB SSD; 1 TB HDD"/>
    <s v="8 GB"/>
    <s v="i7-6500U"/>
    <s v="2,5-3,1 Ghz"/>
    <s v="Win 10"/>
    <x v="20"/>
    <s v="Pendrive"/>
    <s v="Shipping mode"/>
    <s v="P7644"/>
    <s v="D17S"/>
    <s v="Pegatron"/>
    <s v="Tak"/>
    <s v="-"/>
    <n v="3"/>
    <m/>
  </r>
  <r>
    <x v="343"/>
    <s v="-"/>
    <n v="30021124"/>
    <s v="-"/>
    <s v="-"/>
    <s v="Matowy"/>
    <s v=";500 GB HDD"/>
    <s v="2 GB"/>
    <s v="Pentium N3700"/>
    <s v="1,6-2,4 Ghz"/>
    <s v="Win 10"/>
    <x v="9"/>
    <s v="Pendrive"/>
    <s v="Nowe MB magą się nie włączać dopóki nie poklika się kila razy we włącznik."/>
    <s v="S4220"/>
    <s v="NSBW1x02"/>
    <s v="Tongfang"/>
    <s v="Nie"/>
    <s v="-"/>
    <n v="4"/>
    <m/>
  </r>
  <r>
    <x v="344"/>
    <s v="-"/>
    <n v="30023050"/>
    <s v="-"/>
    <s v="-"/>
    <s v="Touch/GLARE"/>
    <s v="32 GB eMMC;"/>
    <s v="2 GB"/>
    <s v="Atom Z3735F"/>
    <s v="1,33-1,83 Ghz"/>
    <s v="Win 10"/>
    <x v="185"/>
    <s v="Pendrive"/>
    <s v="-"/>
    <s v="S1219T"/>
    <s v="M1042"/>
    <s v="CZC"/>
    <s v="Nie"/>
    <s v="-"/>
    <s v="-"/>
    <m/>
  </r>
  <r>
    <x v="345"/>
    <s v="-"/>
    <n v="30022772"/>
    <s v="-"/>
    <s v="-"/>
    <s v="Matowy"/>
    <s v=";1 TB HDD"/>
    <s v="4 GB"/>
    <s v="Intel Pentium 3825U "/>
    <s v="1,90 GHz"/>
    <s v="Win 10"/>
    <x v="30"/>
    <s v="Pendrive"/>
    <s v="sponge/ poron"/>
    <s v="E6416"/>
    <s v="D15D"/>
    <s v="Pegatron"/>
    <s v="Tak"/>
    <s v="-"/>
    <n v="3"/>
    <m/>
  </r>
  <r>
    <x v="346"/>
    <s v="NB PEAQ PNB P1115 MD99671 NL REF"/>
    <n v="30021103"/>
    <n v="30019882"/>
    <s v="-"/>
    <s v="NON GLARE"/>
    <s v=";500 GB SSHD"/>
    <s v="4 GB"/>
    <s v="Intel Core TM i3 5005U"/>
    <s v="2,0 Ghz"/>
    <s v="Win 10"/>
    <x v="186"/>
    <s v="Pendrive"/>
    <s v="wymiana zawiasów, top case  /KB - NL"/>
    <s v="P1115"/>
    <s v="Polo Aluminium/Plastic"/>
    <s v="Inventec"/>
    <s v="Nie"/>
    <s v="-"/>
    <s v="-"/>
    <m/>
  </r>
  <r>
    <x v="347"/>
    <s v="NB PEAQ P1115 ALU MD99672 CH REF"/>
    <n v="30022969"/>
    <n v="30019848"/>
    <s v="-"/>
    <s v="NON GLARE"/>
    <s v="256 GB SSD; 500 GB HDD"/>
    <s v="8 GB"/>
    <s v="Intel Core TM i3 5020U"/>
    <s v="2,2 Ghz"/>
    <s v="Win 10"/>
    <x v="187"/>
    <s v="Pendrive"/>
    <s v="wymiana zawiasów, top case  /KB - CH"/>
    <s v="P1115"/>
    <s v="Polo Aluminium/Plastic"/>
    <s v="Inventec"/>
    <s v="Nie"/>
    <s v="-"/>
    <s v="-"/>
    <m/>
  </r>
  <r>
    <x v="348"/>
    <s v="PNB P2017–I7C1"/>
    <n v="30023000"/>
    <n v="30019849"/>
    <s v="-"/>
    <s v="NON GLARE"/>
    <s v=";1 TB SSHD"/>
    <s v="12 GB"/>
    <s v="i7-6500U"/>
    <s v="2,5-3,1 Ghz"/>
    <s v="Win 10"/>
    <x v="188"/>
    <s v="Pendrive"/>
    <s v="KB - CH"/>
    <s v="P2017"/>
    <s v="D17S"/>
    <s v="Pegatron"/>
    <s v="Tak"/>
    <s v="-"/>
    <s v="-"/>
    <m/>
  </r>
  <r>
    <x v="349"/>
    <s v="NB PEAQ PNB C1011 MD99674 CH REF"/>
    <n v="30023001"/>
    <n v="30019900"/>
    <s v="-"/>
    <s v="NON GLARE ?"/>
    <s v="64 GB eMMC;"/>
    <s v="2 GB"/>
    <s v="Atom Z3735F"/>
    <s v="1,33-1,83 Ghz"/>
    <s v="Win 10"/>
    <x v="189"/>
    <s v="Pendrive"/>
    <s v="KB -CH  /  zamiast recovery re"/>
    <s v="C1011"/>
    <s v="EF20"/>
    <s v="ECS"/>
    <s v="Nie"/>
    <s v="-"/>
    <s v="-"/>
    <m/>
  </r>
  <r>
    <x v="350"/>
    <s v="-"/>
    <n v="30020746"/>
    <s v="-"/>
    <s v="-"/>
    <s v="Matowy"/>
    <s v="128 GB SSD; 1 TB HDD"/>
    <s v="4 GB"/>
    <s v="Intel Core i3-6100U "/>
    <s v="2,30 Ghz"/>
    <s v="Win 10"/>
    <x v="29"/>
    <s v="Pendrive"/>
    <s v="Firmware SATA SSD!! (Obowiazkowo) sponge/ poron"/>
    <s v="E6422"/>
    <s v="D15S"/>
    <s v="Pegatron"/>
    <s v="Tak"/>
    <s v="-"/>
    <n v="3"/>
    <m/>
  </r>
  <r>
    <x v="351"/>
    <s v="PNB C1015-I3C1"/>
    <n v="30023002"/>
    <n v="30019959"/>
    <s v="-"/>
    <s v="NON GLARE"/>
    <s v=";1 TB HDD"/>
    <s v="6 GB"/>
    <s v="Intel Core TM i3 5005U"/>
    <s v="2,0 Ghz"/>
    <s v="Win 10"/>
    <x v="186"/>
    <s v="Pendrive"/>
    <s v="wymiana zawiasów, top case  / KB - CH"/>
    <s v="C1015"/>
    <s v="Polo Aluminium/Plastic"/>
    <s v="Inventec"/>
    <s v="Nie"/>
    <s v="-"/>
    <s v="-"/>
    <m/>
  </r>
  <r>
    <x v="352"/>
    <s v="NB IEC Polo PNB C1015 PEAQ MD99688 NL Ref"/>
    <n v="30021031"/>
    <n v="30019938"/>
    <s v="-"/>
    <s v="NON GLARE"/>
    <s v=";1 TB HDD"/>
    <s v="6 GB"/>
    <s v="Intel PentiumCPU 3825U"/>
    <s v="1,9 GHz"/>
    <s v="Win 10"/>
    <x v="186"/>
    <s v="Pendrive"/>
    <s v="wymiana zawiasów, top case  / KB-NL / sprawdzić czy jestHDD BAY !"/>
    <s v="E6419"/>
    <s v="Polo Aluminium/Plastic"/>
    <s v="Inventec"/>
    <s v="Nie"/>
    <s v="-"/>
    <s v="-"/>
    <m/>
  </r>
  <r>
    <x v="353"/>
    <s v="-"/>
    <n v="30024302"/>
    <s v="-"/>
    <s v="Srebrny"/>
    <s v="Matowy"/>
    <s v=";1 TB HDD"/>
    <s v="4 GB"/>
    <s v="Celeron N2840"/>
    <s v="2,6 Ghz"/>
    <s v="Win 10"/>
    <x v="98"/>
    <s v="Pendrive"/>
    <s v="-"/>
    <s v="E6239"/>
    <s v="C15M"/>
    <s v="Pegatron"/>
    <s v="Nie"/>
    <n v="40050731"/>
    <n v="3"/>
    <m/>
  </r>
  <r>
    <x v="354"/>
    <s v="-"/>
    <n v="30021569"/>
    <s v="-"/>
    <s v="-"/>
    <s v="Matowy"/>
    <s v="128 GB SSD; 500 GB HDD"/>
    <s v="4 GB"/>
    <s v="IntelCore i7-6700HQ "/>
    <s v="2,6 GHz"/>
    <s v="Win 10"/>
    <x v="190"/>
    <s v="Pendrive"/>
    <s v="Firmware SATA SSD!! (Obowiazkowo)"/>
    <s v="X7842"/>
    <s v="P670 RE1-M"/>
    <s v="Clevo"/>
    <s v="Nie"/>
    <s v="-"/>
    <n v="3"/>
    <m/>
  </r>
  <r>
    <x v="355"/>
    <s v="-"/>
    <n v="30021125"/>
    <s v="-"/>
    <s v="-"/>
    <s v="Touch / GLARE"/>
    <s v="64 GB eMMC;"/>
    <s v="2 GB"/>
    <s v="Atom Z3735F"/>
    <s v="1,33-1,83 Ghz"/>
    <s v="Win 10"/>
    <x v="191"/>
    <s v="Pendrive"/>
    <s v="Zamiast Recovery robimy RE-!!!"/>
    <s v="E2212T"/>
    <s v="WMBT1122"/>
    <s v="Tongfang"/>
    <s v="Nie"/>
    <s v="-"/>
    <n v="4"/>
    <m/>
  </r>
  <r>
    <x v="356"/>
    <s v="-"/>
    <n v="30024157"/>
    <s v="-"/>
    <s v="Biały"/>
    <s v="Matowy 1080p"/>
    <s v=";500 GB HDD"/>
    <s v="2 GB"/>
    <s v="Celeron N3050"/>
    <s v="1,6-2,16 Ghz"/>
    <s v="Win 10"/>
    <x v="192"/>
    <s v="Pendrive"/>
    <s v="EC"/>
    <s v="S4219"/>
    <s v="NSBW1x02"/>
    <s v="Tongfang"/>
    <s v="Nie"/>
    <s v="-"/>
    <n v="4"/>
    <m/>
  </r>
  <r>
    <x v="357"/>
    <s v="-"/>
    <n v="30020797"/>
    <s v="-"/>
    <s v="Srebrny"/>
    <s v="Matowy"/>
    <s v="128 GB SSD; 1 TB HDD"/>
    <s v="6 GB"/>
    <s v="Intel Core i3-6100U "/>
    <s v="2,30 Ghz"/>
    <s v="Win 10"/>
    <x v="29"/>
    <s v="Pendrive"/>
    <s v="Firmware SATA SSD!! (Obowiazkowo) / Shipping mode"/>
    <s v="E7420"/>
    <s v="D17S"/>
    <s v="Pegatron"/>
    <s v="Tak"/>
    <s v="-"/>
    <n v="3"/>
    <m/>
  </r>
  <r>
    <x v="358"/>
    <s v="-"/>
    <n v="30022778"/>
    <s v="-"/>
    <s v="-"/>
    <s v="Matowy"/>
    <s v=";500 GB HDD"/>
    <s v="4 GB"/>
    <s v="Intel Core i3-5010U"/>
    <s v="2,10 GHz"/>
    <s v="Win 10"/>
    <x v="30"/>
    <s v="Pendrive USB 2.0"/>
    <s v="sponge/ poron"/>
    <s v="E6416"/>
    <s v=" D15D"/>
    <s v="Pegatron"/>
    <s v="Tak"/>
    <s v="-"/>
    <n v="3"/>
    <m/>
  </r>
  <r>
    <x v="359"/>
    <s v="-"/>
    <n v="30021004"/>
    <s v="-"/>
    <s v="-"/>
    <s v="Touch / GLARE"/>
    <s v="64 GB eMMC;"/>
    <s v="2 GB"/>
    <s v="Atom Z3735F"/>
    <s v="1,33-1,83 Ghz"/>
    <s v="Win 10"/>
    <x v="191"/>
    <s v="Pendrive"/>
    <s v="Zamiast Recovery robimy RE-!!!"/>
    <s v="E2212T"/>
    <s v="WMBT1122"/>
    <s v="Tongfang"/>
    <s v="Nie"/>
    <s v="-"/>
    <n v="4"/>
    <m/>
  </r>
  <r>
    <x v="360"/>
    <s v="-"/>
    <n v="30022457"/>
    <s v="-"/>
    <s v="-"/>
    <s v="Touch/GLARE"/>
    <s v="32 GB eMMC;"/>
    <s v="1 GB"/>
    <s v="Intel Atom  Z3735G"/>
    <s v="1,33 GHz"/>
    <s v="Win 10"/>
    <x v="183"/>
    <s v="Pendrive"/>
    <s v="HUB ; KB - re zamiast recovery"/>
    <s v="E8201T"/>
    <s v="I8880"/>
    <s v="Emdoor"/>
    <s v="Nie"/>
    <s v="-"/>
    <n v="2"/>
    <m/>
  </r>
  <r>
    <x v="361"/>
    <s v="-"/>
    <n v="30021765"/>
    <s v="-"/>
    <s v="-"/>
    <s v="Błyszczący"/>
    <s v="64 GB eMMC;"/>
    <s v="2 GB"/>
    <s v="Atom Z3735F"/>
    <s v="1,33-1,83 Ghz"/>
    <s v="Win 10"/>
    <x v="15"/>
    <s v="Pendrive"/>
    <s v="Zamiast Recovery robimy RE-!!! "/>
    <s v="S2218"/>
    <s v="EF20"/>
    <s v="ECS"/>
    <s v="Nie"/>
    <s v="-"/>
    <s v="bez"/>
    <m/>
  </r>
  <r>
    <x v="362"/>
    <s v="-"/>
    <n v="30022186"/>
    <s v="-"/>
    <s v="-"/>
    <s v="Matowy"/>
    <s v=";1 TB SSHD"/>
    <s v="8 GB"/>
    <s v="i5-6200U"/>
    <s v="2,3-2,8 GHz"/>
    <s v="Win 10"/>
    <x v="193"/>
    <s v="Pendrive"/>
    <s v="sponge/ poron"/>
    <s v="P6661"/>
    <s v="D15S"/>
    <s v="Pegatron"/>
    <s v="Tak"/>
    <s v="-"/>
    <n v="3"/>
    <m/>
  </r>
  <r>
    <x v="363"/>
    <s v="-"/>
    <n v="30021206"/>
    <s v="-"/>
    <s v="-"/>
    <s v="Touch/GLARE"/>
    <s v="32 GB eMMC;"/>
    <s v="1 GB"/>
    <s v="Intel Atom  Z3735G"/>
    <s v="1,33 GHz"/>
    <s v="Win 10"/>
    <x v="183"/>
    <s v="Pendrive"/>
    <s v="HUB ; KB - re zamiast recovery"/>
    <s v="E8201T"/>
    <s v="I8880"/>
    <s v="Emdoor"/>
    <s v="Nie"/>
    <s v="-"/>
    <n v="2"/>
    <m/>
  </r>
  <r>
    <x v="364"/>
    <s v="-"/>
    <n v="30022458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s v="Nie"/>
    <s v="-"/>
    <n v="4"/>
    <m/>
  </r>
  <r>
    <x v="365"/>
    <s v="-"/>
    <n v="30020146"/>
    <s v="-"/>
    <s v="-"/>
    <s v="Touch/GLARE"/>
    <s v="64 GB eMMC;"/>
    <s v="2 GB"/>
    <s v="Atom Z3735F"/>
    <s v="1,33-1,83 Ghz"/>
    <s v="Win 10"/>
    <x v="156"/>
    <s v="Pendrive"/>
    <s v="-"/>
    <s v="S1219T"/>
    <s v="M1042"/>
    <s v="CZC"/>
    <s v="Nie"/>
    <s v="-"/>
    <s v="-"/>
    <m/>
  </r>
  <r>
    <x v="366"/>
    <s v="-"/>
    <n v="30022459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s v="Nie"/>
    <s v="-"/>
    <n v="4"/>
    <m/>
  </r>
  <r>
    <x v="367"/>
    <s v="-"/>
    <n v="30022570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s v="Nie"/>
    <s v="-"/>
    <n v="4"/>
    <m/>
  </r>
  <r>
    <x v="368"/>
    <s v="-"/>
    <n v="30021126"/>
    <s v="-"/>
    <s v="-"/>
    <s v="Matowy"/>
    <s v=";1 TB SSHD"/>
    <s v="4 GB"/>
    <s v="Intel Core i3-6100U "/>
    <s v="2,30 GHz"/>
    <s v="Win 10"/>
    <x v="3"/>
    <s v="Pendrive"/>
    <s v="sponge/ poron"/>
    <s v="P6660"/>
    <s v="D15S"/>
    <s v="Pegatron"/>
    <s v="Tak"/>
    <s v="-"/>
    <n v="3"/>
    <m/>
  </r>
  <r>
    <x v="369"/>
    <s v="C1015-I2N4"/>
    <n v="30023003"/>
    <n v="30020216"/>
    <s v="-"/>
    <s v="NON GLARE"/>
    <s v=";1 TB HDD"/>
    <s v="6 GB"/>
    <s v="Intel PentiumCPU 3825U"/>
    <s v="1,9 GHz"/>
    <s v="Win 10"/>
    <x v="186"/>
    <s v="Pendrive"/>
    <s v="wymiana zawiasów, top case  / KB -NL / sprawdzić czy jestHDD BAY !"/>
    <s v="E6419"/>
    <s v="Polo Aluminium/Plastic"/>
    <s v="Inventec"/>
    <s v="Nie"/>
    <s v="-"/>
    <s v="-"/>
    <m/>
  </r>
  <r>
    <x v="370"/>
    <s v="PNB S1415-I1C"/>
    <n v="30024166"/>
    <n v="30020226"/>
    <s v="-"/>
    <s v="Matowy 1080p"/>
    <s v=";1 TB HDD"/>
    <s v="4 GB"/>
    <s v="Celeron N3050"/>
    <s v="1,6-2,16 Ghz"/>
    <s v="Win 10"/>
    <x v="195"/>
    <s v="Pendrive"/>
    <s v="kb - CH"/>
    <s v="S6219"/>
    <s v="NSBW1x02"/>
    <s v="Tongfang"/>
    <s v="Nie"/>
    <s v="-"/>
    <s v="-"/>
    <m/>
  </r>
  <r>
    <x v="371"/>
    <s v="PNB S1414-I1C1S"/>
    <n v="30024167"/>
    <n v="30020220"/>
    <s v="-"/>
    <s v="Matowy"/>
    <s v="128 GB SSD; 500 GB HDD"/>
    <s v="4 GB"/>
    <s v="Pentium N3700"/>
    <s v="1,6-2,4 Ghz"/>
    <s v="Win 10"/>
    <x v="195"/>
    <s v="Pendrive"/>
    <s v="kb - CH"/>
    <s v="S4219"/>
    <s v="NSBW1x02"/>
    <s v="Tongfang"/>
    <s v="Nie"/>
    <s v="-"/>
    <s v="-"/>
    <m/>
  </r>
  <r>
    <x v="372"/>
    <s v="PNB P1115-I7B2"/>
    <n v="30023713"/>
    <n v="30020244"/>
    <s v="-"/>
    <s v="Matowy"/>
    <s v="128 GB SSD; 1 TB HDD"/>
    <s v="16 GB"/>
    <s v="i7-5500U"/>
    <s v="2,4 Ghz"/>
    <s v="Win 10"/>
    <x v="196"/>
    <s v="Pendrive"/>
    <s v="KB - BE,  Wymiana zawiasów."/>
    <s v="P1115"/>
    <s v="Polo Aluminium/Plastic"/>
    <s v="Inventec"/>
    <s v="Nie"/>
    <s v="-"/>
    <s v="-"/>
    <m/>
  </r>
  <r>
    <x v="373"/>
    <s v="PNB C1015-I3B1"/>
    <n v="30023714"/>
    <n v="30020246"/>
    <s v="-"/>
    <s v="Matowy"/>
    <s v=";1 TB HDD"/>
    <s v="6 GB"/>
    <s v="i3-5005U"/>
    <s v="2 Ghz"/>
    <s v="Win 10"/>
    <x v="186"/>
    <s v="Pendrive"/>
    <s v="KB - BE, HINGE"/>
    <s v="C1015"/>
    <s v="Polo Aluminium/Plastic"/>
    <s v="Inventec"/>
    <s v="Nie"/>
    <s v="-"/>
    <s v="-"/>
    <m/>
  </r>
  <r>
    <x v="374"/>
    <s v="-"/>
    <n v="30022253"/>
    <s v="-"/>
    <s v="-"/>
    <s v="Matowy"/>
    <s v=";500 GB HDD"/>
    <s v="2 GB"/>
    <s v="Pentium N3700"/>
    <s v="1,6-2,4 Ghz"/>
    <s v="Win 10"/>
    <x v="9"/>
    <s v="Pendrive"/>
    <s v="Nowe MB magą się nie włączać dopóki nie poklika się kila razy we włącznik."/>
    <s v="S4220"/>
    <s v="NSBW1x02"/>
    <s v="Tongfang"/>
    <s v="Nie"/>
    <s v="-"/>
    <n v="4"/>
    <m/>
  </r>
  <r>
    <x v="375"/>
    <s v="PNB S1414-I1B1"/>
    <n v="30023740"/>
    <n v="30020247"/>
    <s v="-"/>
    <s v="Matowy"/>
    <s v="32 GB eMMC;"/>
    <s v="2 GB"/>
    <s v="Celeron N3150"/>
    <s v="1,6-2,08 Ghz"/>
    <s v="Win 10"/>
    <x v="197"/>
    <s v="Pendrive"/>
    <s v="Kb - BE"/>
    <s v="S1414"/>
    <s v="NSBW1x02"/>
    <s v="Tongfang"/>
    <s v="Nie"/>
    <s v="-"/>
    <s v="-"/>
    <m/>
  </r>
  <r>
    <x v="376"/>
    <s v="PNB S1414-I1B1 S"/>
    <n v="30024168"/>
    <n v="30020248"/>
    <s v="-"/>
    <s v="Matowy"/>
    <s v="32 GB eMMC; 500 GB HDD"/>
    <s v="2 GB"/>
    <s v="Celeron N3150"/>
    <s v="1,6-2,08 Ghz"/>
    <s v="Win 10"/>
    <x v="197"/>
    <s v="Pendrive"/>
    <s v="BE"/>
    <s v="S1414"/>
    <s v="NSBW1x02"/>
    <s v="Tongfang"/>
    <s v="Nie"/>
    <s v="-"/>
    <s v="-"/>
    <m/>
  </r>
  <r>
    <x v="377"/>
    <s v="PMM C1010-I01B2"/>
    <n v="30023110"/>
    <n v="30020249"/>
    <s v="-"/>
    <s v="Touch/GLARE"/>
    <s v="64 GB eMMC;"/>
    <s v="2 GB"/>
    <s v="Atom Z3735F"/>
    <s v="1,33-1,83 Ghz"/>
    <s v="Win 10"/>
    <x v="150"/>
    <s v="Pendrive"/>
    <s v="KB -  BE /  zamiast recovery re"/>
    <s v="C1010"/>
    <s v="WMBT1031"/>
    <s v="Tongfang"/>
    <s v="Nie"/>
    <s v="-"/>
    <s v="-"/>
    <m/>
  </r>
  <r>
    <x v="378"/>
    <s v="PNB C1011-I0B2"/>
    <n v="30023922"/>
    <n v="30020270"/>
    <s v="-"/>
    <s v="Matowy"/>
    <s v="64 GB eMMC;"/>
    <s v="2 GB"/>
    <s v="Atom Z3735F"/>
    <s v="1,33-1,83 Ghz"/>
    <s v="Win 10"/>
    <x v="24"/>
    <s v="Pendrive"/>
    <s v="KB - BE"/>
    <s v="C1011"/>
    <s v="EF20"/>
    <s v="ECS"/>
    <s v="Nie"/>
    <s v="-"/>
    <s v="-"/>
    <m/>
  </r>
  <r>
    <x v="379"/>
    <s v="-"/>
    <n v="30021600"/>
    <s v="-"/>
    <s v="-"/>
    <s v="Matowy"/>
    <s v=";500 GB HDD"/>
    <s v="2 GB"/>
    <s v="Pentium N3700"/>
    <s v="1,6-2,4 Ghz"/>
    <s v="Win 10"/>
    <x v="9"/>
    <s v="Pendrive"/>
    <s v="Nowe MB magą się nie włączać dopóki nie poklika się kila razy we włącznik."/>
    <s v="S4220"/>
    <s v="NSBW1x02"/>
    <s v="Tongfang"/>
    <s v="Nie"/>
    <s v="-"/>
    <n v="4"/>
    <m/>
  </r>
  <r>
    <x v="380"/>
    <s v="-"/>
    <n v="30021601"/>
    <s v="-"/>
    <s v="-"/>
    <s v="Matowy"/>
    <s v=";500 GB HDD"/>
    <s v="4 GB"/>
    <s v="Intel Celeron 3855U"/>
    <s v="1,6 GHz"/>
    <s v="Win 10"/>
    <x v="8"/>
    <s v="Pendrive"/>
    <s v="Shipping mode"/>
    <s v="E7420"/>
    <s v="D17S"/>
    <s v="Pegatron"/>
    <s v="Tak"/>
    <s v="-"/>
    <n v="3"/>
    <m/>
  </r>
  <r>
    <x v="381"/>
    <s v="-"/>
    <n v="30022550"/>
    <s v="-"/>
    <s v="-"/>
    <s v="Touch / GLARE"/>
    <s v="64 GB eMMC;"/>
    <s v="2 GB"/>
    <s v="Atom Z3735F"/>
    <s v="1,33-1,83 Ghz"/>
    <s v="Win 10"/>
    <x v="194"/>
    <s v="Pendrive"/>
    <s v="Zamiast Recovery robimy RE-!!!"/>
    <s v="E2211T"/>
    <s v="WMBT1122"/>
    <s v="Tongfang"/>
    <s v="Nie"/>
    <s v="-"/>
    <n v="4"/>
    <m/>
  </r>
  <r>
    <x v="382"/>
    <s v="-"/>
    <n v="30022571"/>
    <s v="-"/>
    <s v="-"/>
    <s v="Touch / NON GLARE"/>
    <s v="64 GB eMMC;"/>
    <s v="2 GB"/>
    <s v="Atom Z3735F"/>
    <s v="1,33-1,83 Ghz"/>
    <s v="Win 10"/>
    <x v="182"/>
    <s v="Pendrive"/>
    <s v="Zamiast Recovery robimy RE-!!! / Shipping mode"/>
    <s v="E1235T"/>
    <s v="1013B"/>
    <s v="Malata"/>
    <s v="Tak"/>
    <s v="-"/>
    <n v="4"/>
    <m/>
  </r>
  <r>
    <x v="383"/>
    <s v="-"/>
    <n v="30023166"/>
    <s v="-"/>
    <s v="-"/>
    <s v="Matowy"/>
    <s v=";500 GB SSD"/>
    <s v="8 GB"/>
    <s v="i7-6500U"/>
    <s v="2,5-3,1 Ghz"/>
    <s v="Win 10"/>
    <x v="20"/>
    <s v="Pendrive"/>
    <s v="sponge/ poron"/>
    <s v="P6661"/>
    <s v="D15S"/>
    <s v="Pegatron"/>
    <s v="Tak"/>
    <s v="-"/>
    <n v="3"/>
    <m/>
  </r>
  <r>
    <x v="384"/>
    <s v="-"/>
    <n v="30021602"/>
    <s v="-"/>
    <s v="-"/>
    <s v="GLARE"/>
    <s v="128 GB SSD; 1 TB HDD"/>
    <s v="6 GB"/>
    <s v="i5-6267U"/>
    <s v="2,90 Ghz"/>
    <s v="Win 10"/>
    <x v="8"/>
    <s v="Pendrive"/>
    <s v="Firmware SATA SSD!! (Obowiazkowo) sponge/ poron"/>
    <s v="E6424"/>
    <s v="D15S"/>
    <s v="Pegatron"/>
    <s v="Tak"/>
    <s v="-"/>
    <n v="3"/>
    <m/>
  </r>
  <r>
    <x v="385"/>
    <s v="-"/>
    <n v="30022779"/>
    <s v="-"/>
    <s v="-"/>
    <s v="Matowy"/>
    <s v=";1 TB HDD"/>
    <s v="8 GB"/>
    <s v="i5-6200U"/>
    <s v="2,3-2,8 GHz"/>
    <s v="Win 10"/>
    <x v="3"/>
    <s v="Pendrive"/>
    <s v="Shipping mode"/>
    <s v="P7641"/>
    <s v="D17S"/>
    <s v="Pegatron"/>
    <s v="Tak"/>
    <s v="-"/>
    <n v="3"/>
    <m/>
  </r>
  <r>
    <x v="386"/>
    <s v="-"/>
    <n v="30021347"/>
    <s v="-"/>
    <s v="-"/>
    <s v="Matowy"/>
    <s v="128 GB SSD; 1 TB HDD"/>
    <s v="6 GB"/>
    <s v="i5-6200U"/>
    <s v="2,3-2,8 GHz"/>
    <s v="Win 10"/>
    <x v="193"/>
    <s v="Pendrive"/>
    <s v="Firmware SATA SSD!! (Obowiazkowo) , Substytut SSD 256 GB"/>
    <s v="P7641"/>
    <s v="D17S"/>
    <s v="Pegatron"/>
    <s v="Tak"/>
    <s v="-"/>
    <n v="3"/>
    <m/>
  </r>
  <r>
    <x v="387"/>
    <s v="-"/>
    <n v="30022572"/>
    <s v="-"/>
    <s v="-"/>
    <s v="Matowy"/>
    <s v="128 GB SSD; 1 TB HDD"/>
    <s v="8 GB"/>
    <s v="i7-6500U"/>
    <s v="2,5-3,1 Ghz"/>
    <s v="Win 10"/>
    <x v="14"/>
    <s v="Pendrive"/>
    <s v="Shipping mode"/>
    <s v="P7641"/>
    <s v="D17S"/>
    <s v="Pegatron"/>
    <s v="Tak"/>
    <s v="-"/>
    <n v="3"/>
    <m/>
  </r>
  <r>
    <x v="388"/>
    <s v="-"/>
    <n v="30022255"/>
    <s v="-"/>
    <s v="-"/>
    <s v="Matowy"/>
    <s v="128 GB SSD; 1 TB HDD"/>
    <s v="8 GB"/>
    <s v="i5-6200U"/>
    <s v="2,3-2,8 GHz"/>
    <s v="Win 10"/>
    <x v="193"/>
    <s v="Pendrive"/>
    <s v="Shipping mode"/>
    <s v="P7643"/>
    <s v="D17S"/>
    <s v="Pegatron"/>
    <s v="Tak"/>
    <s v="-"/>
    <n v="3"/>
    <m/>
  </r>
  <r>
    <x v="389"/>
    <s v="-"/>
    <n v="30022256"/>
    <s v="-"/>
    <s v="-"/>
    <s v="Matowy"/>
    <s v="128 GB SSD; 1 TB HDD"/>
    <s v="8 GB"/>
    <s v="i7-6500U"/>
    <s v="2,5-3,1 Ghz"/>
    <s v="Win 10"/>
    <x v="193"/>
    <s v="Pendrive"/>
    <s v="Shipping mode"/>
    <s v="P7643"/>
    <s v="D17S"/>
    <s v="Pegatron"/>
    <s v="Tak"/>
    <s v="-"/>
    <n v="3"/>
    <m/>
  </r>
  <r>
    <x v="390"/>
    <s v="-"/>
    <n v="30022314"/>
    <s v="-"/>
    <s v="-"/>
    <s v="Touch / NON GLARE"/>
    <s v="64 GB eMMC;"/>
    <s v="2 GB"/>
    <s v="Atom X5-Z8350"/>
    <s v="1,44 - 1,92 Ghz"/>
    <s v="Win 10"/>
    <x v="11"/>
    <s v="Pendrive"/>
    <s v="Zamiast Recovery robimy RE-!!!"/>
    <s v="E1240T"/>
    <s v="3165 3ND"/>
    <s v="Wingman"/>
    <s v="Nie"/>
    <s v="-"/>
    <n v="2"/>
    <m/>
  </r>
  <r>
    <x v="391"/>
    <s v="-"/>
    <n v="30024158"/>
    <s v="-"/>
    <s v="Czarny"/>
    <s v="Matowy"/>
    <s v="32 GB eMMC;"/>
    <s v="2 GB"/>
    <s v="Atom Z3735F"/>
    <s v="1,33-1,83 Ghz"/>
    <s v="Win 10"/>
    <x v="15"/>
    <s v="Pendrive"/>
    <s v="-"/>
    <s v="S2217"/>
    <s v="EF20"/>
    <s v="ECS"/>
    <s v="Nie"/>
    <s v="-"/>
    <s v="bez"/>
    <m/>
  </r>
  <r>
    <x v="392"/>
    <s v="-"/>
    <n v="30022553"/>
    <s v="-"/>
    <s v="-"/>
    <s v="Matowy"/>
    <s v=";500 GB HDD"/>
    <s v="4 GB"/>
    <s v="Intel Mobile Celeron N3150"/>
    <s v="1,60 GHz"/>
    <s v="Win 10"/>
    <x v="9"/>
    <s v="Pendrive"/>
    <s v="Nowe MB magą się nie włączać dopóki nie poklika się kila razy we włącznik."/>
    <s v="S6219"/>
    <s v="NSBW1x02"/>
    <s v="Tongfang"/>
    <s v="Nie"/>
    <s v="-"/>
    <n v="4"/>
    <m/>
  </r>
  <r>
    <x v="393"/>
    <s v="-"/>
    <n v="30022226"/>
    <s v="-"/>
    <s v="-"/>
    <s v="Matowy"/>
    <s v=";500 GB HDD"/>
    <s v="4 GB"/>
    <s v="Pentium 4405U"/>
    <s v="2,10 GHz"/>
    <s v="Win 10"/>
    <x v="29"/>
    <s v="Pendrive"/>
    <s v="sponge/ poron"/>
    <s v="E6421"/>
    <s v="D15S"/>
    <s v="Pegatron"/>
    <s v="Tak"/>
    <s v="-"/>
    <n v="3"/>
    <m/>
  </r>
  <r>
    <x v="394"/>
    <s v="-"/>
    <n v="30021827"/>
    <s v="-"/>
    <s v="-"/>
    <s v="Matowy"/>
    <s v=";1 TB HDD"/>
    <s v="8 GB"/>
    <s v="i5-6200U"/>
    <s v="2,3-2,8 GHz"/>
    <s v="Win 10"/>
    <x v="193"/>
    <s v="Pendrive"/>
    <s v="sponge/ poron"/>
    <s v="P6659"/>
    <s v="D15S"/>
    <s v="Pegatron"/>
    <s v="Tak"/>
    <s v="-"/>
    <n v="3"/>
    <m/>
  </r>
  <r>
    <x v="395"/>
    <s v="-"/>
    <n v="30022005"/>
    <s v="-"/>
    <s v="-"/>
    <s v="Matowy"/>
    <s v="128 GB SSD; 1 TB HDD"/>
    <s v="8 GB"/>
    <s v="i5-6200U"/>
    <s v="2,3-2,8 GHz"/>
    <s v="Win 10"/>
    <x v="14"/>
    <s v="Pendrive"/>
    <s v="sponge/ poron"/>
    <s v="P6659"/>
    <s v="D15S"/>
    <s v="Pegatron"/>
    <s v="Tak"/>
    <s v="-"/>
    <n v="3"/>
    <m/>
  </r>
  <r>
    <x v="396"/>
    <s v="-"/>
    <n v="30022227"/>
    <s v="-"/>
    <s v="-"/>
    <s v="Matowy"/>
    <s v="128 GB SSD; 1 TB HDD"/>
    <s v="8 GB"/>
    <s v="i7-6500U"/>
    <s v="2,5-3,1 Ghz"/>
    <s v="Win 10"/>
    <x v="193"/>
    <s v="Pendrive"/>
    <s v="sponge/ poron"/>
    <s v="P6659"/>
    <s v="D15S"/>
    <s v="Pegatron"/>
    <s v="Tak"/>
    <s v="-"/>
    <n v="3"/>
    <m/>
  </r>
  <r>
    <x v="397"/>
    <s v="-"/>
    <n v="30022315"/>
    <s v="-"/>
    <s v="-"/>
    <s v="Touch / NON GLARE"/>
    <s v="64 GB eMMC;"/>
    <s v="2 GB"/>
    <s v="Atom X5-Z8350"/>
    <s v="1,44 - 1,92 Ghz"/>
    <s v="Win 10"/>
    <x v="11"/>
    <s v="Pendrive"/>
    <s v="Zamiast Recovery robimy RE-!!!"/>
    <s v="E1240T"/>
    <s v="3165 3ND"/>
    <s v="Wingman"/>
    <s v="Nie"/>
    <s v="-"/>
    <n v="2"/>
    <m/>
  </r>
  <r>
    <x v="398"/>
    <s v="-"/>
    <n v="30022006"/>
    <s v="-"/>
    <s v="-"/>
    <s v="Matowy"/>
    <s v="128 GB SSD; 1 TB HDD"/>
    <s v="8 GB"/>
    <s v="i5-6200U"/>
    <s v="2,3-2,8 GHz"/>
    <s v="Win 10"/>
    <x v="193"/>
    <s v="Pendrive"/>
    <s v="sponge/ poron"/>
    <s v="P6661"/>
    <s v="D15S"/>
    <s v="Pegatron"/>
    <s v="Tak"/>
    <s v="-"/>
    <n v="3"/>
    <m/>
  </r>
  <r>
    <x v="399"/>
    <s v="-"/>
    <n v="30022573"/>
    <s v="-"/>
    <s v="-"/>
    <s v="Matowy"/>
    <s v="32 GB eMMC;"/>
    <s v="2 GB"/>
    <s v="Pentium N3700"/>
    <s v="1,6-2,4 Ghz"/>
    <s v="Win 10"/>
    <x v="12"/>
    <s v="Pendrive"/>
    <s v="Zamiast Recovery robimy RE-!!! Nowe MB magą się nie włączać dopóki nie poklika się kila razy we włącznik."/>
    <s v="S4219"/>
    <s v="NSBW1x02"/>
    <s v="Tongfang"/>
    <s v="Nie"/>
    <s v="-"/>
    <n v="4"/>
    <m/>
  </r>
  <r>
    <x v="400"/>
    <s v="-"/>
    <n v="30022574"/>
    <s v="-"/>
    <s v="-"/>
    <s v="Matowy"/>
    <s v="64 GB eMMC; 500 GB HDD"/>
    <s v="4 GB"/>
    <s v="Pentium N3700"/>
    <s v="1,6-2,4 Ghz"/>
    <s v="Win 10"/>
    <x v="9"/>
    <s v="Pendrive"/>
    <s v="Nowe MB magą się nie włączać dopóki nie poklika się kila razy we włącznik."/>
    <s v="S4219"/>
    <s v="NSBW1x02"/>
    <s v="Tongfang"/>
    <s v="Nie"/>
    <s v="-"/>
    <n v="4"/>
    <m/>
  </r>
  <r>
    <x v="401"/>
    <s v="-"/>
    <n v="30022551"/>
    <s v="-"/>
    <s v="-"/>
    <s v="GLARE"/>
    <s v="128 GB SSD; 500 GB HDD"/>
    <s v="4 GB"/>
    <s v="IntelCore i3-6100U"/>
    <s v="2,30 Ghz"/>
    <s v="Win 10"/>
    <x v="8"/>
    <s v="Pendrive"/>
    <s v="sponge/ poron"/>
    <s v="E6422"/>
    <s v="D15S"/>
    <s v="Pegatron"/>
    <s v="Tak"/>
    <s v="-"/>
    <n v="3"/>
    <m/>
  </r>
  <r>
    <x v="402"/>
    <s v="-"/>
    <n v="30024502"/>
    <s v="-"/>
    <s v="-"/>
    <s v="GLARE"/>
    <s v="128 GB SSD; 500 GB HDD"/>
    <s v="4 GB"/>
    <s v="IntelCore i3-6100U"/>
    <s v="2,30 Ghz"/>
    <s v="Win 10"/>
    <x v="8"/>
    <s v="Pendrive"/>
    <s v="sponge/ poron"/>
    <s v="E6422"/>
    <s v="D15S"/>
    <s v="Pegatron"/>
    <s v="Tak"/>
    <s v="-"/>
    <n v="3"/>
    <m/>
  </r>
  <r>
    <x v="403"/>
    <s v="-"/>
    <n v="30024159"/>
    <s v="-"/>
    <s v="Biały"/>
    <s v="Matowy"/>
    <s v="32 GB eMMC;"/>
    <s v="2 GB"/>
    <s v="Atom Z3735F"/>
    <s v="1,33-1,83 Ghz"/>
    <s v="Win 10"/>
    <x v="15"/>
    <s v="Pendrive"/>
    <s v="-"/>
    <s v="S2217"/>
    <s v="EF20"/>
    <s v="ECS"/>
    <s v="Nie"/>
    <s v="-"/>
    <s v="bez"/>
    <m/>
  </r>
  <r>
    <x v="404"/>
    <s v="-"/>
    <n v="30022316"/>
    <s v="-"/>
    <s v="Srebrny"/>
    <s v="Matowy 1080p"/>
    <s v="128 GB SSD; 1 TB HDD"/>
    <s v="4 GB"/>
    <s v="Intel Core i3-6100U "/>
    <s v="2,30 Ghz"/>
    <s v="Win 10"/>
    <x v="8"/>
    <s v="Pendrive"/>
    <s v="Shipping mode"/>
    <s v="E7420"/>
    <s v="D17S"/>
    <s v="Pegatron"/>
    <s v="Tak"/>
    <s v="-"/>
    <n v="3"/>
    <m/>
  </r>
  <r>
    <x v="405"/>
    <s v="-"/>
    <n v="30023363"/>
    <s v="-"/>
    <s v="-"/>
    <s v="Matowy"/>
    <s v=";500 GB HDD"/>
    <s v="4 GB"/>
    <s v="Pentium N3700"/>
    <s v="1,6-2,4 Ghz"/>
    <s v="Win 10"/>
    <x v="67"/>
    <s v="Pendrive"/>
    <s v="Nowe MB magą się nie włączać dopóki nie poklika się kila razy we włącznik.  EC"/>
    <s v="S6219"/>
    <s v="NSBW1x02"/>
    <s v="Tongfang"/>
    <s v="Nie"/>
    <s v="-"/>
    <n v="4"/>
    <m/>
  </r>
  <r>
    <x v="406"/>
    <s v="-"/>
    <n v="30022790"/>
    <s v="-"/>
    <s v="-"/>
    <s v="Matowy"/>
    <s v="128 GB SSD; 1 TB HDD"/>
    <s v="4 GB"/>
    <s v="IntelCore i3-6100U "/>
    <s v="2,3 Ghz"/>
    <s v="Win 10"/>
    <x v="8"/>
    <s v="Pendrive"/>
    <s v="Firmware SATASSD !! (Obowiazkowo),  sponge/ poron"/>
    <s v="E6422"/>
    <s v="D15S"/>
    <s v="Pegatron"/>
    <s v="Tak"/>
    <s v="-"/>
    <n v="3"/>
    <m/>
  </r>
  <r>
    <x v="407"/>
    <s v="-"/>
    <n v="30022648"/>
    <s v="-"/>
    <s v="-"/>
    <s v="Matowy"/>
    <s v="256 GB SSD;"/>
    <s v="8 GB"/>
    <s v="Intel Core i3-5005U "/>
    <s v="2,00 Ghz"/>
    <s v="Win 10"/>
    <x v="61"/>
    <s v="Pendrive"/>
    <s v="Shipping mode"/>
    <s v="P7637"/>
    <s v="D17D"/>
    <s v="Pegatron"/>
    <s v="Tak"/>
    <s v="-"/>
    <n v="3"/>
    <m/>
  </r>
  <r>
    <x v="408"/>
    <s v="-"/>
    <n v="30023556"/>
    <s v="-"/>
    <s v="-"/>
    <s v="Matowy"/>
    <s v=";1 TB HDD"/>
    <s v="4 GB"/>
    <s v="Intel Core™ i3-5005U"/>
    <s v="2,0 GHz"/>
    <s v="Win 10"/>
    <x v="61"/>
    <s v="Pendrive"/>
    <s v="shipping mode"/>
    <s v="P7639"/>
    <s v="D17D"/>
    <s v="Pegatron"/>
    <s v="Tak"/>
    <s v="-"/>
    <n v="3"/>
    <m/>
  </r>
  <r>
    <x v="409"/>
    <s v="PNB S1414-I0N1 W"/>
    <n v="30023923"/>
    <n v="30020458"/>
    <s v="-"/>
    <s v="Matowy"/>
    <s v="64 GB eMMC;"/>
    <s v="2 GB"/>
    <s v="Celeron N3050"/>
    <s v="2,16 GHz"/>
    <s v="Win 10"/>
    <x v="197"/>
    <s v="Pendrive"/>
    <s v="wymiana zawiasów, top case  /KB - NL"/>
    <s v="S1414"/>
    <s v="NSBW1x02"/>
    <s v="Tongfang"/>
    <s v="Nie"/>
    <s v="-"/>
    <s v="-"/>
    <m/>
  </r>
  <r>
    <x v="410"/>
    <s v="PMM C1010–I02N3"/>
    <n v="30023111"/>
    <n v="30020459"/>
    <s v="-"/>
    <s v="Touch/GLARE"/>
    <s v="64 GB eMMC;"/>
    <s v="2 GB"/>
    <s v="Atom Z3735F"/>
    <s v="1,33-1,83 Ghz"/>
    <s v="Win 10"/>
    <x v="150"/>
    <s v="Pendrive"/>
    <s v="wymiana zawiasów, top case  / KB -  NL /  zamiast recovery re"/>
    <s v="P1211T"/>
    <s v="WMBT1031"/>
    <s v="Tongfang"/>
    <s v="Nie"/>
    <s v="-"/>
    <s v="-"/>
    <m/>
  </r>
  <r>
    <x v="411"/>
    <s v="-"/>
    <n v="30022792"/>
    <s v="-"/>
    <s v="Srebrny"/>
    <s v="Matowy"/>
    <s v="32 GB eMMC;"/>
    <s v="2 GB"/>
    <s v="Atom Z3735F"/>
    <s v="1,33-1,83 Ghz"/>
    <s v="Win 10"/>
    <x v="15"/>
    <s v="Pendrive"/>
    <s v="Zamiast Recovery robimy RE-!!! "/>
    <s v="S2218"/>
    <s v="EF20"/>
    <s v="ECS"/>
    <s v="Nie"/>
    <s v="-"/>
    <s v="bez"/>
    <m/>
  </r>
  <r>
    <x v="411"/>
    <s v="-"/>
    <n v="30022791"/>
    <s v="-"/>
    <s v="Czarny"/>
    <s v="Matowy"/>
    <s v="32 GB eMMC;"/>
    <s v="2 GB"/>
    <s v="Atom Z3735F"/>
    <s v="1,33-1,83 Ghz"/>
    <s v="Win 10"/>
    <x v="15"/>
    <s v="Pendrive"/>
    <s v="Zamiast Recovery robimy RE-!!!"/>
    <s v="S2218"/>
    <s v="EF20"/>
    <s v="ECS"/>
    <s v="Nie"/>
    <s v="-"/>
    <s v="bez"/>
    <m/>
  </r>
  <r>
    <x v="412"/>
    <s v="PMM P1011–I12N1"/>
    <n v="30023326"/>
    <n v="30020470"/>
    <s v="-"/>
    <s v="Touch / NON GLARE"/>
    <s v="64 GB eMMC;"/>
    <s v="2 GB"/>
    <s v="Celeron N2940"/>
    <s v="1,83 -2,25 GHz"/>
    <s v="Win 10"/>
    <x v="198"/>
    <s v="Pendrive"/>
    <s v="KB - NL /  zamiast recovery re ;  firmware:HDD&amp;DOCK(204); W urządzeniu powinien być ustawiony shipping mode Akku."/>
    <s v="P2213T"/>
    <s v="T11M"/>
    <s v="Pegatron"/>
    <s v="Tak"/>
    <s v="-"/>
    <s v="-"/>
    <m/>
  </r>
  <r>
    <x v="413"/>
    <s v="S1414-I0N1 S"/>
    <n v="30023446"/>
    <n v="30020471"/>
    <s v="-"/>
    <s v="Matowy"/>
    <s v="64 GB eMMC;"/>
    <s v="2 GB"/>
    <s v="celeron N3050"/>
    <s v="1,6 - 2,16 Ghz"/>
    <s v="Win 10"/>
    <x v="197"/>
    <s v="Pendrive"/>
    <s v="KB - NL Re"/>
    <s v="S4219"/>
    <s v="NSBW1x02"/>
    <s v="Tongfang"/>
    <s v="Nie"/>
    <s v="-"/>
    <s v="-"/>
    <m/>
  </r>
  <r>
    <x v="414"/>
    <s v="-"/>
    <n v="30022317"/>
    <s v="-"/>
    <s v="-"/>
    <s v="Matowy"/>
    <s v="128 GB SSD; 1 TB HDD"/>
    <s v="4 GB"/>
    <s v="Intel Core i3-6167U"/>
    <s v="2,70 Ghz"/>
    <s v="Win 10"/>
    <x v="8"/>
    <s v="Pendrive"/>
    <s v="Shipping mode"/>
    <s v="E7422"/>
    <s v="D17S"/>
    <s v="Pegatron"/>
    <s v="Tak"/>
    <s v="-"/>
    <n v="3"/>
    <m/>
  </r>
  <r>
    <x v="415"/>
    <s v="-"/>
    <n v="30022318"/>
    <s v="-"/>
    <s v="-"/>
    <s v="Matowy"/>
    <s v=";1 TB SSHD"/>
    <s v="4 GB"/>
    <s v="Pentium 4405U"/>
    <s v="2,10 GHz"/>
    <s v="Win 10"/>
    <x v="18"/>
    <s v="Pendrive"/>
    <s v="-"/>
    <s v="E6430"/>
    <s v="E15S"/>
    <s v="Pegatron"/>
    <s v="Nie"/>
    <s v="-"/>
    <n v="3"/>
    <m/>
  </r>
  <r>
    <x v="416"/>
    <s v="-"/>
    <n v="30024160"/>
    <s v="-"/>
    <s v="Srebrny"/>
    <s v="Matowy"/>
    <s v=";1 TB HDD"/>
    <s v="4 GB"/>
    <s v="Pentium N3700"/>
    <s v="1,6-2,4 Ghz"/>
    <s v="Win 10"/>
    <x v="10"/>
    <s v="Pendrive"/>
    <s v="EC"/>
    <s v="S6219"/>
    <s v="NSBW1x02"/>
    <s v="Tongfang"/>
    <s v="Nie"/>
    <n v="40057145"/>
    <n v="4"/>
    <m/>
  </r>
  <r>
    <x v="417"/>
    <s v="-"/>
    <n v="30022319"/>
    <s v="-"/>
    <s v="-"/>
    <s v="Touch / NON GLARE"/>
    <s v="64 GB eMMC;"/>
    <s v="2 GB"/>
    <s v="Atom X5-Z8350"/>
    <s v="1,44 - 1,92 Ghz"/>
    <s v="Win 10"/>
    <x v="32"/>
    <s v="Pendrive"/>
    <s v="Magnesy w TOP CASE! Update biosu, do najwyższego Build Date."/>
    <s v="E2216T"/>
    <s v="NT16H"/>
    <s v="Emdoor"/>
    <s v="Nie"/>
    <s v="-"/>
    <n v="2"/>
    <m/>
  </r>
  <r>
    <x v="418"/>
    <s v="-"/>
    <n v="30022794"/>
    <s v="-"/>
    <s v="-"/>
    <s v="GLARE"/>
    <s v="128 GB SSD;"/>
    <s v="4 GB"/>
    <s v="Intel Celeron  3855U"/>
    <s v="1,60 GHz"/>
    <s v="Win 10"/>
    <x v="8"/>
    <s v="Pendrive"/>
    <s v="sponge/ poron"/>
    <s v="E6421"/>
    <s v="D15S"/>
    <s v="Pegatron"/>
    <s v="Tak"/>
    <s v="-"/>
    <n v="3"/>
    <m/>
  </r>
  <r>
    <x v="419"/>
    <s v="-"/>
    <n v="30024501"/>
    <s v="-"/>
    <s v="-"/>
    <s v="GLARE"/>
    <s v="128 GB SSD;"/>
    <s v="4 GB"/>
    <s v="Intel Celeron  3855U"/>
    <s v="1,60 GHz"/>
    <s v="Win 10"/>
    <x v="8"/>
    <s v="Pendrive"/>
    <s v="sponge/ poron"/>
    <s v="E6421"/>
    <s v="D15S"/>
    <s v="Pegatron"/>
    <s v="Tak"/>
    <s v="-"/>
    <n v="3"/>
    <m/>
  </r>
  <r>
    <x v="420"/>
    <s v="-"/>
    <n v="30022795"/>
    <s v="-"/>
    <s v="-"/>
    <s v="Matowy"/>
    <s v="64 GB eMMC;"/>
    <s v="2 GB"/>
    <s v="celeron N3160"/>
    <s v="1,6-2,24 Ghz"/>
    <s v="Win 10"/>
    <x v="60"/>
    <s v="Pendrive"/>
    <s v="Recovery - re Pendrive/ bios spod EFI Shell"/>
    <s v="E2214"/>
    <s v="SF20"/>
    <s v="ECS"/>
    <s v="Nie"/>
    <s v="-"/>
    <n v="4"/>
    <m/>
  </r>
  <r>
    <x v="421"/>
    <s v="-"/>
    <n v="30024303"/>
    <s v="-"/>
    <s v="Srebrny"/>
    <s v="Matowy"/>
    <s v="128 GB SSD; 1 TB HDD"/>
    <s v="8 GB"/>
    <s v="Celeron 3855U"/>
    <s v="1,6 Ghz"/>
    <s v="Win 10"/>
    <x v="199"/>
    <s v="Pendrive"/>
    <s v="sponge/ poron"/>
    <s v="E6421"/>
    <s v="D15S"/>
    <s v="Pegatron"/>
    <s v="Tak"/>
    <s v="-"/>
    <n v="3"/>
    <m/>
  </r>
  <r>
    <x v="422"/>
    <s v="-"/>
    <n v="30024355"/>
    <s v="-"/>
    <s v="Srebrny"/>
    <s v="Matowy"/>
    <s v="128 GB SSD; 1,5 TB HDD"/>
    <s v="8 GB"/>
    <s v="i5-6200U"/>
    <s v="2,3-2,8 GHz"/>
    <s v="Win 10"/>
    <x v="199"/>
    <s v="Pendrive"/>
    <s v="sponge/ poron"/>
    <s v="E6421"/>
    <s v="D15S"/>
    <s v="Pegatron"/>
    <s v="Tak"/>
    <n v="40061308"/>
    <n v="3"/>
    <m/>
  </r>
  <r>
    <x v="423"/>
    <s v="-"/>
    <n v="30024305"/>
    <s v="-"/>
    <s v="Czarny, gumowany"/>
    <s v="Matowy"/>
    <s v="128 GB SSD; 1 TB HDD"/>
    <s v="8 GB"/>
    <s v="i7-6500U"/>
    <s v="2,5-3,1 Ghz"/>
    <s v="Win 10"/>
    <x v="20"/>
    <s v="Pendrive"/>
    <s v="sponge/ poron"/>
    <s v="P6661"/>
    <s v="D15S"/>
    <s v="Pegatron"/>
    <s v="Tak"/>
    <s v="-"/>
    <n v="3"/>
    <m/>
  </r>
  <r>
    <x v="424"/>
    <s v="-"/>
    <n v="30024161"/>
    <s v="-"/>
    <s v="Czarny, gumowany"/>
    <s v="Matowy"/>
    <s v="256 GB SSD; 1 TB HDD"/>
    <s v="16 GB"/>
    <s v="i5-6200U"/>
    <s v="2,3-2,8 GHz"/>
    <s v="Win 10"/>
    <x v="20"/>
    <s v="Pendrive"/>
    <s v="-"/>
    <s v="P7643"/>
    <s v="D17S"/>
    <s v="Pegatron"/>
    <s v="Tak"/>
    <n v="40057143"/>
    <n v="3"/>
    <m/>
  </r>
  <r>
    <x v="425"/>
    <s v="-"/>
    <n v="30024306"/>
    <s v="-"/>
    <s v="Czarny, gumowany"/>
    <s v="Matowy"/>
    <s v="512 GB SSD; 2 TB HDD"/>
    <s v="16 GB"/>
    <s v="i7-6500U"/>
    <s v="2,5-3,1 Ghz"/>
    <s v="Win 10"/>
    <x v="20"/>
    <s v="Pendrive"/>
    <s v="-"/>
    <s v="P7643"/>
    <s v="D17S"/>
    <s v="Pegatron"/>
    <s v="Tak"/>
    <s v="-"/>
    <n v="3"/>
    <m/>
  </r>
  <r>
    <x v="426"/>
    <s v="-"/>
    <n v="30022639"/>
    <s v="-"/>
    <s v="-"/>
    <s v="Matowy"/>
    <s v="128 GB SSD; 1 TB HDD"/>
    <s v="6 GB"/>
    <s v="i5-6200U"/>
    <s v="2,3-2,8 GHz"/>
    <s v="Win 10"/>
    <x v="52"/>
    <s v="Pendrive"/>
    <s v="Substytut SSD 256 GB"/>
    <s v="P6670"/>
    <s v="E15S"/>
    <s v="Pegatron"/>
    <s v="Nie"/>
    <s v="-"/>
    <n v="3"/>
    <m/>
  </r>
  <r>
    <x v="427"/>
    <s v="-"/>
    <n v="30024162"/>
    <s v="-"/>
    <s v="Czarny, gumowany"/>
    <s v="Matowy"/>
    <s v="128 GB SSD; 1 TB HDD"/>
    <s v="6 GB"/>
    <s v="i5-6200U"/>
    <s v="2,3-2,8 GHz"/>
    <s v="Win 10"/>
    <x v="20"/>
    <s v="Pendrive"/>
    <s v="-"/>
    <s v="P7643"/>
    <s v="D17S"/>
    <s v="Pegatron"/>
    <s v="Tak"/>
    <n v="40057143"/>
    <n v="3"/>
    <m/>
  </r>
  <r>
    <x v="428"/>
    <s v="-"/>
    <n v="30024163"/>
    <s v="-"/>
    <s v="Czarny"/>
    <s v="Matowy"/>
    <s v="128 GB SSD; 1,5 TB HDD"/>
    <s v="12 GB"/>
    <s v="i5-6200U"/>
    <s v="2,3-2,8 GHz"/>
    <s v="Win 10"/>
    <x v="20"/>
    <s v="Pendrive"/>
    <s v="-"/>
    <s v="P7643"/>
    <s v="D17S"/>
    <s v="Pegatron"/>
    <s v="Tak"/>
    <n v="40057143"/>
    <n v="3"/>
    <m/>
  </r>
  <r>
    <x v="429"/>
    <s v="-"/>
    <n v="30022662"/>
    <s v="-"/>
    <s v="-"/>
    <s v="Matowy"/>
    <s v="128 GB SSD; 1 TB HDD"/>
    <s v="6 GB"/>
    <s v="IntelCore i3-6157U "/>
    <s v="2,4 Ghz"/>
    <s v="Win 10"/>
    <x v="18"/>
    <s v="Pendrive"/>
    <s v="Substytut SSD 256 GB"/>
    <s v="E6432"/>
    <s v="E15S"/>
    <s v="Pegatron"/>
    <s v="Nie"/>
    <s v="-"/>
    <n v="3"/>
    <m/>
  </r>
  <r>
    <x v="430"/>
    <s v="-"/>
    <n v="30024307"/>
    <s v="-"/>
    <s v="Czarny"/>
    <s v="Matowy 1080p"/>
    <s v="64 GB eMMC;"/>
    <s v="2 GB"/>
    <s v="Celeron N3050"/>
    <s v="1,6-2,16 Ghz"/>
    <s v="Win 10"/>
    <x v="200"/>
    <s v="Pendrive"/>
    <s v="EC"/>
    <s v="S4219"/>
    <s v="NSBW1x02"/>
    <s v="Tongfang"/>
    <s v="Nie"/>
    <s v="-"/>
    <n v="4"/>
    <m/>
  </r>
  <r>
    <x v="431"/>
    <s v="-"/>
    <n v="30023364"/>
    <s v="-"/>
    <s v="-"/>
    <s v="Touch / GLARE"/>
    <s v="64 GB eMMC;"/>
    <s v="2 GB"/>
    <s v="Atom Z3735F"/>
    <s v="1,33-1,83 Ghz"/>
    <s v="Win 10"/>
    <x v="182"/>
    <s v="Pendrive"/>
    <s v="KB NL!!!!   Re / Shipping mode"/>
    <s v="E1235T"/>
    <s v=" E1235T"/>
    <s v="Malata"/>
    <s v="Tak"/>
    <s v="-"/>
    <n v="4"/>
    <m/>
  </r>
  <r>
    <x v="432"/>
    <s v="-"/>
    <n v="30022661"/>
    <s v="-"/>
    <s v="-"/>
    <s v="Matowy"/>
    <s v="256 GB SSD; 1 TB HDD"/>
    <s v="16 GB"/>
    <s v="i7-7500U"/>
    <s v="2,7-3,5 Ghz"/>
    <s v="Win 10"/>
    <x v="57"/>
    <s v="Pendrive"/>
    <s v="Shipping mode,  Touchpad firmaware"/>
    <s v="P7648"/>
    <s v="D17K"/>
    <s v="Pegatron"/>
    <s v="Tak"/>
    <s v="-"/>
    <n v="3"/>
    <m/>
  </r>
  <r>
    <x v="433"/>
    <s v="PNB T2015-I3N1"/>
    <n v="30023447"/>
    <n v="30020622"/>
    <s v="-"/>
    <s v="Touch/GLARE"/>
    <s v="256 GB SSD;"/>
    <s v="4 GB"/>
    <s v="i3-6100U"/>
    <s v="2,3 Ghz"/>
    <s v="Win 10"/>
    <x v="201"/>
    <s v="Pendrive"/>
    <s v="KB NL"/>
    <s v="S6419T"/>
    <s v="T2015"/>
    <s v="Wistron"/>
    <s v="Nie"/>
    <s v="-"/>
    <s v="-"/>
    <m/>
  </r>
  <r>
    <x v="434"/>
    <s v="PNB T2015-I5N1"/>
    <n v="30024308"/>
    <n v="30020621"/>
    <s v="-"/>
    <s v="Touch"/>
    <s v="256 GB SSD;"/>
    <s v="8 GB"/>
    <s v="i5-6200U"/>
    <s v="2,3-2,8 GHz"/>
    <s v="Win 10"/>
    <x v="202"/>
    <s v="Pendrive"/>
    <s v="NL / warto sprawdzić czy NB nie ukrył jakiegoś okna dialogowego po wgraniu oprogramowna"/>
    <s v="S6619T"/>
    <s v="T2015"/>
    <s v="Wistron"/>
    <s v="Nie"/>
    <s v="-"/>
    <s v="-"/>
    <m/>
  </r>
  <r>
    <x v="435"/>
    <s v="-"/>
    <n v="30023936"/>
    <s v="-"/>
    <s v="-"/>
    <s v="Matowy"/>
    <s v="128 GB SSD; 1 TB HDD"/>
    <s v="6 GB"/>
    <s v="i5-6267U"/>
    <s v="2,90 Ghz"/>
    <s v="Win 10"/>
    <x v="8"/>
    <s v="Pendrive"/>
    <s v="Firmware SATA SSD!! (Obowiazkowo) Sponge/Poron"/>
    <s v="E6424"/>
    <s v="D15S"/>
    <s v="Pegatron"/>
    <s v="Tak"/>
    <s v="-"/>
    <n v="3"/>
    <m/>
  </r>
  <r>
    <x v="436"/>
    <s v="-"/>
    <n v="30024340"/>
    <s v="-"/>
    <s v="Grafitowy"/>
    <s v="Matowy 1080p"/>
    <s v="256 GB SSD;"/>
    <s v="8 GB"/>
    <s v="i7-6500U"/>
    <s v="2,5-3,1 Ghz"/>
    <s v="Win 10"/>
    <x v="19"/>
    <s v="Pendrive"/>
    <s v="-"/>
    <s v="P6669"/>
    <s v="E15S"/>
    <s v="Pegatron"/>
    <s v="Nie"/>
    <s v="-"/>
    <n v="3"/>
    <m/>
  </r>
  <r>
    <x v="437"/>
    <s v="-"/>
    <n v="30024279"/>
    <s v="-"/>
    <s v="Brązowy"/>
    <s v="Matowy 720p"/>
    <s v="128 GB SSD; 1 TB HDD"/>
    <s v="8 GB"/>
    <s v="i3-5005U"/>
    <s v="2 GHz"/>
    <s v="Win 10"/>
    <x v="28"/>
    <s v="Pendrive"/>
    <m/>
    <s v="E6415"/>
    <s v="D15D"/>
    <s v="Pegatron"/>
    <s v="Tak"/>
    <n v="40057144"/>
    <n v="3"/>
    <m/>
  </r>
  <r>
    <x v="438"/>
    <s v="-"/>
    <n v="30024593"/>
    <s v="-"/>
    <s v="Brązowy"/>
    <s v="Dotykowy 1080P"/>
    <s v="64 GB eMMC;"/>
    <s v="2 GB"/>
    <s v="Celeron N2940"/>
    <s v="1,83 -2,25 GHz"/>
    <s v="Win 10"/>
    <x v="203"/>
    <s v="Pendrive"/>
    <s v="Dock firmware/hdd firmware"/>
    <s v="P2213T"/>
    <s v="T11M"/>
    <s v="Pegatron"/>
    <s v="Tak"/>
    <m/>
    <n v="1"/>
    <m/>
  </r>
  <r>
    <x v="439"/>
    <s v="-"/>
    <n v="30024595"/>
    <s v="-"/>
    <s v="Srebrny"/>
    <s v="Matowy 1080p"/>
    <s v="256 GB SSD;"/>
    <s v="8 GB"/>
    <s v="i5-7200u"/>
    <s v="2,5-3,1 Ghz"/>
    <s v="Win 10"/>
    <x v="204"/>
    <s v="Pendrive"/>
    <m/>
    <s v="S3409"/>
    <s v="F13K"/>
    <s v="Pegatron"/>
    <s v="Tak"/>
    <m/>
    <n v="3"/>
    <m/>
  </r>
  <r>
    <x v="440"/>
    <s v="-"/>
    <n v="30024599"/>
    <s v="-"/>
    <s v="Grafitowy"/>
    <s v="Matowy 1080p"/>
    <s v="128 GB SSD; 1,5 TB HDD"/>
    <s v="8 GB"/>
    <s v="i5-6200U"/>
    <s v="2,3-2,8 GHz"/>
    <s v="Win 10"/>
    <x v="52"/>
    <s v="Pendrive"/>
    <s v="w przypadku nie działającego image, skopiować partycję rozruchową z innego image"/>
    <s v="P6669"/>
    <s v="E15S"/>
    <s v="Pegatron"/>
    <s v="Nie"/>
    <m/>
    <n v="3"/>
    <s v="GTX 940MX 2 GB"/>
  </r>
  <r>
    <x v="441"/>
    <s v="-"/>
    <n v="30024597"/>
    <s v="-"/>
    <s v="Srebrny"/>
    <s v="Matowy 1080p"/>
    <s v="128 GB eMMC;"/>
    <s v="4 GB"/>
    <s v="Pentium N3710"/>
    <s v="1,6-2,56 Ghz"/>
    <s v="Win 10"/>
    <x v="59"/>
    <s v="Pendrive"/>
    <s v="Obowiązkowa instrukcja ME.QA.02.528 / EC"/>
    <s v="S6219"/>
    <s v="NSBW1x02"/>
    <s v="Tongfang"/>
    <s v="Nie"/>
    <m/>
    <n v="4"/>
    <m/>
  </r>
  <r>
    <x v="442"/>
    <s v="-"/>
    <n v="30024596"/>
    <s v="-"/>
    <s v="Srebrny"/>
    <s v="Matowy 1080p"/>
    <s v=";1 TB HDD"/>
    <s v="4 GB"/>
    <s v="i3-7100u"/>
    <s v="2,4 Ghz"/>
    <s v="Win 10"/>
    <x v="78"/>
    <s v="Pendrive"/>
    <s v="TP firmware"/>
    <s v="E6436 "/>
    <s v="E15K"/>
    <s v="Pegatron"/>
    <s v="Nie"/>
    <m/>
    <n v="3"/>
    <m/>
  </r>
  <r>
    <x v="443"/>
    <s v="-"/>
    <n v="30024631"/>
    <s v="-"/>
    <s v="Grafitowy"/>
    <s v="Matowy 1080p"/>
    <s v="256 GB SSD; 1 TB HDD"/>
    <s v="8 GB"/>
    <s v="i5-7200u"/>
    <s v="2,5-3,1 Ghz"/>
    <s v="Win 10"/>
    <x v="205"/>
    <s v="Pendrive"/>
    <s v="TP firmware"/>
    <s v="P6678"/>
    <s v="E15K"/>
    <s v="Pegatron"/>
    <s v="Nie"/>
    <m/>
    <n v="3"/>
    <m/>
  </r>
  <r>
    <x v="444"/>
    <s v="-"/>
    <n v="30024638"/>
    <s v="-"/>
    <s v="czarny gumowany"/>
    <s v="Matowy 1080p"/>
    <s v="256 GB SSD; 1 TB HDD"/>
    <s v="8 GB"/>
    <s v="i7-8550U"/>
    <s v="1.80-4.0 Ghz"/>
    <s v="Win 10"/>
    <x v="206"/>
    <s v="Pendrive"/>
    <m/>
    <s v="P7652"/>
    <s v="D17KxR"/>
    <s v="Pegatron"/>
    <s v="Tak"/>
    <m/>
    <n v="3"/>
    <m/>
  </r>
  <r>
    <x v="445"/>
    <s v="-"/>
    <n v="30024632"/>
    <s v="-"/>
    <s v="Grafitowy"/>
    <s v="Matowy 1080p"/>
    <s v=";1 TB HDD"/>
    <s v="8 GB"/>
    <s v="i5-6200U"/>
    <s v="2,3-2,8 GHz"/>
    <s v="Win 10"/>
    <x v="207"/>
    <s v="Pendrive"/>
    <s v="sponge/ poron zamontowane fabrycznie, sprawdzić"/>
    <s v="P6667"/>
    <s v="D15S"/>
    <s v="Pegatron"/>
    <s v="Tak"/>
    <m/>
    <n v="3"/>
    <m/>
  </r>
  <r>
    <x v="446"/>
    <s v="-"/>
    <m/>
    <s v="-"/>
    <s v="Srebrny"/>
    <s v="Matowy 1080p"/>
    <s v=";1,5 TB HDD"/>
    <s v="4 GB"/>
    <s v="Pentium 4405U"/>
    <s v="2.1 Ghz"/>
    <s v="-"/>
    <x v="22"/>
    <s v="-"/>
    <s v="no os"/>
    <s v="E7419"/>
    <s v="D17S"/>
    <s v="Pegatron"/>
    <s v="Tak"/>
    <m/>
    <n v="3"/>
    <m/>
  </r>
  <r>
    <x v="447"/>
    <s v="-"/>
    <n v="30024639"/>
    <s v="-"/>
    <s v="Grafitowy"/>
    <s v="Matowy 720p"/>
    <s v="256 GB SSD; 1 TB HDD"/>
    <s v="16 GB"/>
    <s v="i5-6200U"/>
    <s v="2,3-2,8 GHz"/>
    <s v="Win 10"/>
    <x v="21"/>
    <s v="Pendrive"/>
    <s v="-"/>
    <s v="P7641"/>
    <s v="D17S"/>
    <s v="Pegatron"/>
    <s v="Tak"/>
    <m/>
    <n v="3"/>
    <s v="GTX 930M 2 GB"/>
  </r>
  <r>
    <x v="448"/>
    <s v="-"/>
    <n v="30024644"/>
    <s v="-"/>
    <s v="czarny gumowany"/>
    <s v="Matowy 1080p"/>
    <s v="256 GB SSD; 1 TB HDD"/>
    <s v="16 GB"/>
    <s v="i7-7700HQ"/>
    <s v="2,8-3,8 Ghz"/>
    <s v="Win 10"/>
    <x v="208"/>
    <s v="Pendrive"/>
    <s v="Automatyczny shipping mode przy pieczętowaniu. Baterie bios podpina się odslonietymi pinami do góry."/>
    <s v="X6603"/>
    <s v="DY518"/>
    <s v="LCFC"/>
    <s v="Nie"/>
    <m/>
    <n v="4"/>
    <s v="GTX 1050"/>
  </r>
  <r>
    <x v="449"/>
    <s v="-"/>
    <n v="30024633"/>
    <s v="-"/>
    <s v="czarny gumowany"/>
    <s v="Matowy 1080p"/>
    <s v="256 GB SSD; 1,5 TB HDD "/>
    <s v="8 GB"/>
    <s v="i5-7200U"/>
    <s v="2,5-3,1 Ghz"/>
    <s v="Win 10"/>
    <x v="209"/>
    <s v="Pendrive"/>
    <s v="tp firmware, sponge / poron"/>
    <s v="P6679"/>
    <s v="D15K"/>
    <s v="Pegatron"/>
    <s v="Tak"/>
    <m/>
    <n v="3"/>
    <s v="GTX 950M 4 GB"/>
  </r>
  <r>
    <x v="450"/>
    <s v="-"/>
    <n v="30024647"/>
    <s v="-"/>
    <s v="Grafitowy"/>
    <s v="Matowy 1080p"/>
    <s v="128 GB SSD; 1 TB HDD"/>
    <s v="8 GB"/>
    <s v="i7-7500U"/>
    <s v="2,7-3,5 Ghz"/>
    <s v="Win 10"/>
    <x v="58"/>
    <s v="Pendrive"/>
    <s v="tp firmware"/>
    <s v="P6677"/>
    <s v="E15K"/>
    <s v="Pegatron"/>
    <s v="Nie"/>
    <m/>
    <n v="3"/>
    <m/>
  </r>
  <r>
    <x v="451"/>
    <s v="-"/>
    <n v="30024640"/>
    <s v="-"/>
    <s v="Srebrny"/>
    <s v="Dotykowy 1080P"/>
    <s v="128 GB eMMC;"/>
    <s v="2 GB"/>
    <s v="Atom x5-Z8350"/>
    <s v="1,44 - 1,92 Ghz"/>
    <s v="Win 10"/>
    <x v="210"/>
    <s v="Pendrive"/>
    <s v="-"/>
    <s v="E1239T"/>
    <s v="3165 3ND"/>
    <s v="Wingman"/>
    <s v="Nie"/>
    <m/>
    <n v="2"/>
    <m/>
  </r>
  <r>
    <x v="452"/>
    <s v="-"/>
    <n v="30024598"/>
    <s v="-"/>
    <s v="Srebrny"/>
    <s v="Dotykowy 1080P"/>
    <s v="64 GB eMMC;"/>
    <s v="2 GB"/>
    <s v="Atom X5-Z8350"/>
    <s v="1,44 - 1,92 Ghz"/>
    <s v="Win 10"/>
    <x v="210"/>
    <s v="Pendrive"/>
    <s v="-"/>
    <s v="E1239T"/>
    <s v="3165 3ND"/>
    <s v="Wingman"/>
    <s v="Nie"/>
    <m/>
    <n v="2"/>
    <m/>
  </r>
  <r>
    <x v="453"/>
    <s v="-"/>
    <n v="30024636"/>
    <s v="-"/>
    <s v="Grafitowy"/>
    <s v="Matowy 1080p"/>
    <s v="256 GB SSD; 1 TB HDD"/>
    <s v="16 GB"/>
    <s v="i7-7500U"/>
    <s v="2,7-3,5 Ghz"/>
    <s v="Win 10"/>
    <x v="211"/>
    <s v="Duży Pendrive"/>
    <s v="Duży Pendrive"/>
    <s v="P7649"/>
    <s v="D17KxR"/>
    <s v="Pegatron"/>
    <s v="Tak"/>
    <m/>
    <n v="2"/>
    <m/>
  </r>
  <r>
    <x v="454"/>
    <s v="-"/>
    <n v="30024646"/>
    <s v="-"/>
    <s v="czarny gumowany"/>
    <s v="Matowy 1080p"/>
    <s v="128 GB SSD; 1 TB HDD"/>
    <s v="8 GB"/>
    <s v="i5-6300HQ"/>
    <s v="2,3-3,2 Ghz"/>
    <s v="Win 10"/>
    <x v="179"/>
    <s v="Pendrive"/>
    <s v="EC"/>
    <s v="X7841"/>
    <s v="P670 RE1-M"/>
    <s v="Clevo"/>
    <s v="Nie"/>
    <m/>
    <n v="2"/>
    <s v="GTX 970M"/>
  </r>
  <r>
    <x v="455"/>
    <s v="-"/>
    <n v="30024643"/>
    <s v="-"/>
    <s v="Czarny"/>
    <s v="Dotykowy 1080P"/>
    <s v="64 GB eMMC;"/>
    <s v="2 GB"/>
    <s v="Atom X5-Z8350"/>
    <s v="1,44-1,92 Ghz"/>
    <s v="Win 10"/>
    <x v="212"/>
    <s v="Pendrive"/>
    <s v="Magnesy w TOP CASE! Update biosu, do najwyższego Build Date."/>
    <s v="E2221T"/>
    <s v="NT16H"/>
    <s v="Emdoor"/>
    <s v="Nie"/>
    <m/>
    <n v="2"/>
    <m/>
  </r>
  <r>
    <x v="456"/>
    <s v="-"/>
    <n v="30024630"/>
    <s v="-"/>
    <s v="Czarny"/>
    <s v="Dotykowy 1080P"/>
    <s v="64 GB eMMC;"/>
    <s v="4 GB"/>
    <s v="Atom x5-Z8300"/>
    <s v="1,44-1,84 Ghz"/>
    <s v="Win 10"/>
    <x v="63"/>
    <s v="Pendrive"/>
    <s v="Magnesy w TOP CASE! Update biosu, do najwyższego Build Date."/>
    <s v="E2227T"/>
    <s v="NT16H"/>
    <s v="Emdoor"/>
    <s v="Nie"/>
    <m/>
    <n v="2"/>
    <m/>
  </r>
  <r>
    <x v="457"/>
    <s v="-"/>
    <n v="30024635"/>
    <s v="-"/>
    <s v="Czarny"/>
    <s v="Dotykowy 720p"/>
    <s v="64 GB eMMC;"/>
    <s v="2 GB"/>
    <s v="Atom X5-Z8350"/>
    <s v="1,44-1,92 Ghz"/>
    <s v="Win 10"/>
    <x v="212"/>
    <s v="Pendrive"/>
    <s v="Magnesy w TOP CASE! Update biosu, do najwyższego Build Date."/>
    <s v="E2225T"/>
    <s v="NT16H"/>
    <s v="Emdoor"/>
    <s v="Nie"/>
    <m/>
    <n v="2"/>
    <m/>
  </r>
  <r>
    <x v="458"/>
    <s v="-"/>
    <n v="30024344"/>
    <s v="-"/>
    <s v="czarny gumowany"/>
    <s v="Matowy 1080p"/>
    <s v="256 GB SSD;"/>
    <s v="16 GB"/>
    <s v="i7-6820HK"/>
    <s v="2,7-3,6 Ghz"/>
    <s v="Win 10"/>
    <x v="213"/>
    <s v="Pendrive"/>
    <s v="-"/>
    <s v="X7847"/>
    <s v="P670 RP6-M"/>
    <s v="Clevo"/>
    <s v="Nie"/>
    <m/>
    <n v="2"/>
    <s v="GTX 1060 6 GB"/>
  </r>
  <r>
    <x v="459"/>
    <s v="-"/>
    <n v="30024650"/>
    <s v="-"/>
    <s v="biału"/>
    <s v="Matowy 720p"/>
    <s v="128 GB SSD;"/>
    <s v="4 GB"/>
    <s v="Celeron N3050"/>
    <s v="1,6-2,16 Ghz"/>
    <s v="Win 10"/>
    <x v="200"/>
    <s v="Pendrive"/>
    <s v="Obowiązkowa instrukcja ME.QA.02.528 / EC"/>
    <s v="S6219"/>
    <s v="NSBW1x02"/>
    <s v="Tongfang"/>
    <s v="Nie"/>
    <m/>
    <n v="4"/>
    <m/>
  </r>
  <r>
    <x v="460"/>
    <s v="-"/>
    <n v="30024093"/>
    <s v="-"/>
    <s v="czarny gumowany"/>
    <s v="Matowy 1080p"/>
    <s v="128 GB SSD; 500 GB HDD; 1TB HDD"/>
    <s v="20 GB"/>
    <s v="i7-6700HQ"/>
    <s v="2,6-3,5 Ghz"/>
    <s v="Win 10"/>
    <x v="214"/>
    <s v="Pendrive"/>
    <s v="Recovery po wgraniu image/ EC"/>
    <s v="X7842"/>
    <s v="P670 RE1-M"/>
    <s v="Clevo"/>
    <s v="Nie"/>
    <m/>
    <n v="3"/>
    <s v="GTX 970 3 GB"/>
  </r>
  <r>
    <x v="461"/>
    <s v="-"/>
    <n v="30024653"/>
    <n v="30023285"/>
    <s v="Srebrny"/>
    <s v="Matowy 1080p"/>
    <s v="128 GB eMMC;"/>
    <s v="4 GB"/>
    <s v="Celeron N3060"/>
    <s v="1,6-2,48 Ghz"/>
    <s v="Win 10"/>
    <x v="215"/>
    <s v="Pendrive"/>
    <s v="Obowiązkowa instrukcja ME.QA.02.528 / EC"/>
    <s v="S1415"/>
    <s v="NSBW1x02"/>
    <s v="Tongfang"/>
    <s v="Nie"/>
    <m/>
    <n v="4"/>
    <m/>
  </r>
  <r>
    <x v="462"/>
    <s v="-"/>
    <n v="30024649"/>
    <s v="-"/>
    <s v="Srebrny"/>
    <s v="Matowy 1080p"/>
    <s v=";1 TB HDD"/>
    <s v="4 GB"/>
    <s v="i5-6200U"/>
    <s v="2,3-2,8 GHz"/>
    <s v="Win 10"/>
    <x v="29"/>
    <s v="Pendrive"/>
    <s v="sponge/porony"/>
    <s v="E6421"/>
    <s v="D15S"/>
    <s v="Pegatron"/>
    <s v="Tak"/>
    <m/>
    <n v="3"/>
    <m/>
  </r>
  <r>
    <x v="463"/>
    <s v="-"/>
    <n v="30024301"/>
    <s v="-"/>
    <s v="Biały"/>
    <s v="Matowy 1080p"/>
    <s v="32 GB eMMC;"/>
    <s v="2 GB"/>
    <s v="Atom Z3735F"/>
    <s v="1,33-1,83 Ghz"/>
    <s v="Win 10"/>
    <x v="15"/>
    <s v="Pendrive"/>
    <s v="KLAWIATURA BE"/>
    <s v="S2217"/>
    <s v="EF20"/>
    <s v="ECS"/>
    <s v="Nie"/>
    <m/>
    <s v="bez"/>
    <m/>
  </r>
  <r>
    <x v="464"/>
    <s v="-"/>
    <n v="30024637"/>
    <s v="-"/>
    <s v="Srebrny"/>
    <s v="Dotykowy 1080P"/>
    <s v="64 GB eMMC;"/>
    <s v="4 GB"/>
    <s v="Atom x5-Z8300"/>
    <s v="1,44-1,84 Ghz"/>
    <s v="Win 10"/>
    <x v="34"/>
    <s v="Pendrive"/>
    <s v="Magnesy w TOP CASE! Update biosu, do najwyższego Build Date."/>
    <s v="E2217T"/>
    <s v="NT16H"/>
    <s v="Emdoor"/>
    <s v="Nie"/>
    <m/>
    <n v="4"/>
    <m/>
  </r>
  <r>
    <x v="465"/>
    <s v="-"/>
    <n v="30024651"/>
    <n v="30022579"/>
    <s v="Srebrny"/>
    <s v="Matowy 1080p"/>
    <s v="128 GB eMMc; 1 TB HDD"/>
    <s v="8 GB"/>
    <s v="i5-6200U"/>
    <s v="2,3-2,8 GHz"/>
    <s v="Win 10"/>
    <x v="216"/>
    <s v="Pendrive"/>
    <s v="SN płyty pod radiatorem/ EC"/>
    <s v="S2415"/>
    <s v="NSSL1502"/>
    <s v="Tongfang"/>
    <s v="Nie"/>
    <m/>
    <n v="4"/>
    <m/>
  </r>
  <r>
    <x v="466"/>
    <s v="-"/>
    <n v="30023557"/>
    <s v="-"/>
    <s v="Brązowy"/>
    <s v="Matowy 720p"/>
    <s v=";1 TB HDD"/>
    <s v="8 GB"/>
    <s v="i3-4005U"/>
    <s v="1,7 Ghz"/>
    <s v="Win 10"/>
    <x v="159"/>
    <s v="Pendrive"/>
    <s v="-"/>
    <s v="E6411"/>
    <s v="D15B"/>
    <s v="Pegatron"/>
    <s v="Tak"/>
    <m/>
    <n v="3"/>
    <m/>
  </r>
  <r>
    <x v="467"/>
    <s v="-"/>
    <n v="30022565"/>
    <s v="-"/>
    <s v="Srebrny"/>
    <s v="Matowy 1080p"/>
    <s v="128 GB SSD; 1,5 TB HDD"/>
    <s v="6 GB"/>
    <s v="i5-6267U "/>
    <s v="2,9-3,2 Ghz"/>
    <s v="Win 10"/>
    <x v="18"/>
    <s v="Pendrive"/>
    <s v="-"/>
    <s v="E6431"/>
    <s v="E15S"/>
    <s v="Pegatron"/>
    <s v="Nie"/>
    <m/>
    <n v="3"/>
    <m/>
  </r>
  <r>
    <x v="468"/>
    <s v="-"/>
    <n v="30024652"/>
    <n v="30022576"/>
    <s v="Srebrny"/>
    <s v="Dotykowy 1080P"/>
    <s v="64 GB eMMc;"/>
    <s v="2 GB"/>
    <s v="Atom X5-Z8350"/>
    <s v="1,44-1,92 Ghz"/>
    <s v="Win 10"/>
    <x v="217"/>
    <s v="Pendrive"/>
    <s v="Magnesy w TOP CASE! Update biosu, do najwyższego Build Date."/>
    <s v="E2221T"/>
    <s v="NT16H"/>
    <s v="Emdoor"/>
    <s v="Nie"/>
    <m/>
    <n v="2"/>
    <m/>
  </r>
  <r>
    <x v="469"/>
    <s v="-"/>
    <n v="30024432"/>
    <s v="-"/>
    <s v="Biały"/>
    <s v="Dotykowy 720p"/>
    <s v="32 GB eMMc;"/>
    <s v="2 GB"/>
    <s v="Atom x5-8350"/>
    <s v="1,44-1,92 Ghz"/>
    <s v="Win 10"/>
    <x v="218"/>
    <s v="Pendrive"/>
    <s v="Magnesy w TOP CASE! Update biosu, do najwyższego Build Date."/>
    <s v="E2215T"/>
    <s v="NT16H"/>
    <s v="Emdoor"/>
    <s v="Nie"/>
    <m/>
    <n v="2"/>
    <m/>
  </r>
  <r>
    <x v="470"/>
    <s v="-"/>
    <n v="30024641"/>
    <s v="-"/>
    <s v="Brązowy"/>
    <s v="Matowy 720p"/>
    <s v=";500 GB HDD"/>
    <s v="4 GB"/>
    <s v="i5-5200U"/>
    <s v="2,2-2,7 Ghz"/>
    <s v="Win 10"/>
    <x v="162"/>
    <s v="Pendrive"/>
    <s v="sponge/ poron"/>
    <s v="E6415"/>
    <s v="D15D"/>
    <s v="Pegatron"/>
    <s v="Tak"/>
    <m/>
    <n v="3"/>
    <m/>
  </r>
  <r>
    <x v="471"/>
    <s v="-"/>
    <n v="30024431"/>
    <n v="30022578"/>
    <s v="Srebrny"/>
    <s v="Matowy 1080p"/>
    <s v="128 GB eMMc; 1 TB HDD"/>
    <s v="4 GB"/>
    <s v="i3-6006U"/>
    <s v="2 GHz"/>
    <s v="Win 10"/>
    <x v="216"/>
    <s v="Pendrive"/>
    <s v="-"/>
    <s v="S2415"/>
    <s v="NSSL1502"/>
    <s v="Tongfang"/>
    <s v="Nie"/>
    <m/>
    <n v="4"/>
    <m/>
  </r>
  <r>
    <x v="472"/>
    <s v="-"/>
    <n v="30024411"/>
    <s v="-"/>
    <s v="Srebrny"/>
    <s v="Dotykowy 720p"/>
    <s v="32 GB eMMC;"/>
    <s v="2 GB"/>
    <s v="Atom Z3735F"/>
    <s v="1,33-1,83 Ghz"/>
    <s v="Win 10"/>
    <x v="219"/>
    <s v="Pendrive"/>
    <s v="-"/>
    <s v="E1235T"/>
    <s v="1013N"/>
    <s v="Malata"/>
    <s v="Tak"/>
    <m/>
    <n v="4"/>
    <m/>
  </r>
  <r>
    <x v="473"/>
    <s v="-"/>
    <n v="30024852"/>
    <s v="-"/>
    <s v="Czarny"/>
    <s v="Matowy 1080p"/>
    <s v="256 GB SSD; 1 TB HDD"/>
    <s v="16 GB"/>
    <s v="i7-7700HQ"/>
    <s v="2,8-3,8 Ghz"/>
    <s v="Win 10"/>
    <x v="220"/>
    <s v="Pendrive"/>
    <s v="SWM na C: 20064754"/>
    <s v="X7855"/>
    <s v="PA70HP6"/>
    <s v="Clevo"/>
    <s v="Nie"/>
    <m/>
    <n v="3"/>
    <s v="GTX 1060 6 GB"/>
  </r>
  <r>
    <x v="474"/>
    <s v="-"/>
    <n v="30024654"/>
    <n v="30020271"/>
    <s v="Srebrny"/>
    <s v="Matowy 2k"/>
    <s v="256 GB SSD;"/>
    <s v="8 GB"/>
    <s v="i7-5500U"/>
    <s v="2,4 Ghz"/>
    <s v="Win 10"/>
    <x v="221"/>
    <s v="Pendrive"/>
    <s v="BE, jack tylko słuchawki"/>
    <s v="S1013"/>
    <s v="MS-13D1"/>
    <s v="MSI"/>
    <s v="Nie"/>
    <m/>
    <n v="4"/>
    <m/>
  </r>
  <r>
    <x v="475"/>
    <s v="-"/>
    <n v="3024655"/>
    <n v="30020272"/>
    <s v="Srebrny"/>
    <s v="Matowy 1080p"/>
    <s v="128 GB SSD; 1 TB HDD"/>
    <s v="12 GB"/>
    <s v="i5-6200u"/>
    <s v="2,3 GHz"/>
    <s v="Win 10"/>
    <x v="222"/>
    <s v="Pendrive"/>
    <s v="BE, SWM na E 20061745"/>
    <s v="P2017"/>
    <s v="D17S"/>
    <s v="Pegatron"/>
    <s v="Tak"/>
    <m/>
    <n v="3"/>
    <s v="GF 930M"/>
  </r>
  <r>
    <x v="476"/>
    <s v="-"/>
    <n v="30024862"/>
    <s v="-"/>
    <s v="Srebrny"/>
    <s v="Błyszczący QHD+"/>
    <s v="512 GB SSD;"/>
    <s v="8 GB"/>
    <s v="i7-7500U"/>
    <s v="2,7-3,5 Ghz"/>
    <s v="Win 10"/>
    <x v="35"/>
    <s v="Pendrive"/>
    <s v="-"/>
    <s v="S3409"/>
    <s v="F13K"/>
    <s v="Pegatron"/>
    <s v="Tak"/>
    <m/>
    <n v="3"/>
    <m/>
  </r>
  <r>
    <x v="477"/>
    <s v="-"/>
    <n v="30024899"/>
    <s v="-"/>
    <s v="Srebrny"/>
    <s v="Matowy 720p"/>
    <s v=";500 GB HDD"/>
    <s v="8 GB"/>
    <s v="i5-6200U"/>
    <s v="2,3-2,8 Ghz"/>
    <s v="Win 10"/>
    <x v="18"/>
    <s v="Pendrive"/>
    <s v="-"/>
    <s v="E6429"/>
    <s v="E15S"/>
    <s v="Pegatron"/>
    <s v="Nie"/>
    <m/>
    <n v="3"/>
    <m/>
  </r>
  <r>
    <x v="478"/>
    <s v="-"/>
    <n v="30025130"/>
    <m/>
    <s v="Srebrny"/>
    <s v="Błyszczący 720p"/>
    <s v=";1 TB HDD"/>
    <s v="4 GB"/>
    <s v="Pentium 4415U"/>
    <s v="2,3 Ghz"/>
    <s v="Win 10"/>
    <x v="223"/>
    <s v="Pendrive"/>
    <s v="TP firmware"/>
    <s v="E6436 "/>
    <s v="E15K"/>
    <s v="Pegatron"/>
    <s v="Nie"/>
    <m/>
    <n v="3"/>
    <m/>
  </r>
  <r>
    <x v="479"/>
    <s v="-"/>
    <n v="30024869"/>
    <s v="-"/>
    <s v="Srebrny"/>
    <s v="Matowy 1080p"/>
    <s v="32 GB eMMC;"/>
    <s v="4 GB"/>
    <s v="Pentium N3700"/>
    <s v="1,6 Ghz"/>
    <s v="Win 10"/>
    <x v="224"/>
    <s v="Pendrive"/>
    <s v="EC"/>
    <s v="S4219"/>
    <s v="NSBW1x02"/>
    <s v="Tongfang"/>
    <s v="Nie"/>
    <m/>
    <n v="4"/>
    <m/>
  </r>
  <r>
    <x v="480"/>
    <s v="-"/>
    <n v="30024877"/>
    <s v="-"/>
    <s v="czarny gumowany"/>
    <s v="Matowy 1080p"/>
    <s v="128 GB SSD; 1 TB HDD"/>
    <s v="8 GB"/>
    <s v="i5-6200U"/>
    <s v="2,3-2,8 Ghz"/>
    <s v="Win 10"/>
    <x v="20"/>
    <s v="Pendrive"/>
    <s v="-"/>
    <s v="P7643"/>
    <s v="D17S"/>
    <s v="Pegatron"/>
    <s v="Tak"/>
    <m/>
    <n v="3"/>
    <s v="GTX 950M 4 GB"/>
  </r>
  <r>
    <x v="481"/>
    <s v="-"/>
    <n v="30024875"/>
    <s v="-"/>
    <s v="Srebrny"/>
    <s v="Matowy 1080p"/>
    <s v="128 GB SSD; 1 TB HDD"/>
    <s v="6 GB"/>
    <s v="i5-7200U"/>
    <s v="2,5-3,1 Ghz"/>
    <s v="Win 10"/>
    <x v="225"/>
    <s v="Pendrive"/>
    <s v="-"/>
    <s v="E6437"/>
    <s v="F15K"/>
    <s v="Pegatron"/>
    <s v="Tak"/>
    <m/>
    <n v="3"/>
    <m/>
  </r>
  <r>
    <x v="482"/>
    <s v="-"/>
    <n v="30025132"/>
    <s v="-"/>
    <s v="Srebrny"/>
    <s v="Matowy 1080p"/>
    <s v="128 GB SSD; 1,5 TB HDD"/>
    <s v="6 GB"/>
    <s v="Pentium 4415U"/>
    <s v="2,3 GHz"/>
    <s v="Win 10"/>
    <x v="226"/>
    <s v="Pendrive"/>
    <s v="TP firmware"/>
    <s v="E6435"/>
    <s v="E15K"/>
    <s v="Pegatron"/>
    <s v="Nie"/>
    <m/>
    <n v="3"/>
    <m/>
  </r>
  <r>
    <x v="483"/>
    <s v="-"/>
    <n v="30024903"/>
    <s v="-"/>
    <s v="czarny gumowany"/>
    <s v="Matowy 1080p"/>
    <s v="512 GB SSD; 1,5 TB HDD"/>
    <s v="16 GB"/>
    <s v="i7-7500U"/>
    <s v="2,7-3,5 Ghz"/>
    <s v="Win 10"/>
    <x v="227"/>
    <s v="Pendrive"/>
    <s v="-"/>
    <s v="P6684"/>
    <s v="E15KR"/>
    <s v="Pegatron"/>
    <s v="Nie"/>
    <m/>
    <n v="3"/>
    <s v="GTX 1050 4 GB"/>
  </r>
  <r>
    <x v="484"/>
    <s v="-"/>
    <n v="30024864"/>
    <s v="-"/>
    <s v="Srebrny"/>
    <s v="Matowy 1080p"/>
    <s v="256 GB SSD;"/>
    <s v="8 GB"/>
    <s v="i5-7200U"/>
    <s v="2,5-3,1 Ghz"/>
    <s v="Win 10"/>
    <x v="49"/>
    <s v="Pendrive"/>
    <s v="tp firmware"/>
    <s v="E6435"/>
    <s v="E15K"/>
    <s v="Pegatron"/>
    <s v="Nie"/>
    <m/>
    <n v="3"/>
    <m/>
  </r>
  <r>
    <x v="485"/>
    <s v="-"/>
    <n v="30024890"/>
    <s v="-"/>
    <s v="czarny gumowany"/>
    <s v="Matowy 1080p"/>
    <s v="128 GB SSD; 1 TB HDD"/>
    <s v="16 GB"/>
    <s v="i7-6500U"/>
    <s v="2,5-3,1"/>
    <s v="Win 10"/>
    <x v="228"/>
    <s v="Pendrive"/>
    <s v="sponge/porony"/>
    <s v="P6661"/>
    <s v="D15S"/>
    <s v="Pegatron"/>
    <s v="Tak"/>
    <m/>
    <n v="3"/>
    <s v="GTX 950M 4 GB"/>
  </r>
  <r>
    <x v="486"/>
    <s v="-"/>
    <n v="30024642"/>
    <s v="-"/>
    <s v="Czarny"/>
    <s v="Matowy 1080p"/>
    <s v="256 GB SSD; 1,5 TB HDD "/>
    <s v="16 GB"/>
    <s v="i7-6700HQ"/>
    <s v="2,6-3,5 Ghz"/>
    <s v="Win 10"/>
    <x v="229"/>
    <s v="Pendrive"/>
    <s v="SWM na C: 20062423"/>
    <s v="X6601"/>
    <s v="N155RD1-M"/>
    <s v="Pegatron"/>
    <s v="Nie"/>
    <m/>
    <n v="3"/>
    <s v="GTX 960M 2 GB"/>
  </r>
  <r>
    <x v="487"/>
    <s v="-"/>
    <n v="30024907"/>
    <s v="-"/>
    <s v="Srebrny"/>
    <s v="Matowy 1080p"/>
    <s v="128 GB SSD; 1 TB HDD"/>
    <s v="6 GB"/>
    <s v="Pentium 4415U"/>
    <s v="2,3 Ghz"/>
    <s v="Win 10"/>
    <x v="230"/>
    <s v="Pendrive"/>
    <s v="-"/>
    <s v="E7426"/>
    <s v="D17KxR"/>
    <s v="Pegatron"/>
    <s v="Tak"/>
    <m/>
    <n v="3"/>
    <m/>
  </r>
  <r>
    <x v="488"/>
    <s v="-"/>
    <n v="30024908"/>
    <s v="-"/>
    <s v="Grafitowy"/>
    <s v="Błyszczący 1080p"/>
    <s v="128 GB SSD; 1,5 TB HDD"/>
    <s v="16 GB"/>
    <s v="i5-6200U"/>
    <s v="2,3-2,8 Ghz"/>
    <s v="Win 10"/>
    <x v="21"/>
    <s v="Pendrive"/>
    <s v="sponge/porony"/>
    <s v="P6667"/>
    <s v="D15S"/>
    <s v="Pegatron"/>
    <s v="Tak"/>
    <m/>
    <n v="3"/>
    <s v="GTX 940 MX 2 GB"/>
  </r>
  <r>
    <x v="489"/>
    <s v="-"/>
    <n v="30025109"/>
    <s v="-"/>
    <s v="czarny gumowany"/>
    <s v="Matowy 1080p"/>
    <s v="256 GB SSD; 1 TB HDD"/>
    <s v="8 GB"/>
    <s v="i5-7200U"/>
    <s v="2,5 Ghz"/>
    <s v="Win 10"/>
    <x v="227"/>
    <s v="Pendrive"/>
    <s v="-"/>
    <s v="P6681"/>
    <s v="E15KR"/>
    <s v="Pegatron"/>
    <s v="Nie"/>
    <m/>
    <n v="3"/>
    <s v="GTX 1050 4 GB"/>
  </r>
  <r>
    <x v="490"/>
    <s v="-"/>
    <n v="30024861"/>
    <s v="-"/>
    <s v="Srebrny"/>
    <s v="Dotykowy 720p"/>
    <s v="64 GB eMMc;"/>
    <s v="2 GB"/>
    <s v="Atom X5-Z8350"/>
    <s v="1,44-1,92 Ghz"/>
    <s v="Win 10"/>
    <x v="212"/>
    <s v="Pendrive"/>
    <s v="Magnesy w TOP CASE! Update biosu, do najwyższego Build Date."/>
    <s v="E2225T"/>
    <s v="Nt16H"/>
    <s v="Emdoor"/>
    <s v="Nie"/>
    <m/>
    <n v="2"/>
    <m/>
  </r>
  <r>
    <x v="491"/>
    <s v="-"/>
    <n v="30024884"/>
    <s v="-"/>
    <s v="Brązowy"/>
    <s v="Matowy 720p"/>
    <s v="128 GB SSD; 1 TB HDD"/>
    <s v="12 GB"/>
    <s v="i3-5005U"/>
    <s v="2 GHz"/>
    <s v="Win 10"/>
    <x v="28"/>
    <s v="Pendrive"/>
    <s v="sponge/porony"/>
    <s v="E6415"/>
    <s v="D15D"/>
    <s v="Pegatron"/>
    <s v="Tak"/>
    <m/>
    <n v="3"/>
    <m/>
  </r>
  <r>
    <x v="492"/>
    <s v="-"/>
    <n v="30024897"/>
    <s v="-"/>
    <s v="Brązowy"/>
    <s v="Matowy 1080p"/>
    <s v="; 1 TB HDD"/>
    <s v="8 GB"/>
    <s v="i3-5005U"/>
    <s v="2 GHz"/>
    <s v="-"/>
    <x v="22"/>
    <s v="-"/>
    <s v="windows LIVE"/>
    <s v="E6415"/>
    <s v="D15D"/>
    <s v="Pegatron"/>
    <s v="Tak"/>
    <m/>
    <n v="3"/>
    <m/>
  </r>
  <r>
    <x v="493"/>
    <s v="-"/>
    <n v="30024865"/>
    <s v="-"/>
    <s v="Srebrny"/>
    <s v="Matowy 1080p"/>
    <s v="128 GB SSD;"/>
    <s v="4 GB"/>
    <s v="i3-7100U"/>
    <s v="2,4 Ghz"/>
    <s v="Win 10"/>
    <x v="35"/>
    <s v="Pendrive"/>
    <m/>
    <s v="S3409"/>
    <s v="F13K"/>
    <s v="Pegatron"/>
    <s v="Tak"/>
    <m/>
    <n v="3"/>
    <m/>
  </r>
  <r>
    <x v="494"/>
    <s v="-"/>
    <n v="30024888"/>
    <s v="-"/>
    <s v="Czarny"/>
    <s v="Matowy 720p"/>
    <s v="128 GB eMMc;"/>
    <s v="4 GB"/>
    <s v="Celeron N3050"/>
    <s v="1,6 Ghz"/>
    <s v="Win 10"/>
    <x v="200"/>
    <s v="Pendrive"/>
    <s v="Obowiązkowa instrukcja ME.QA.02.528 / EC"/>
    <s v="S6219"/>
    <s v="NSBW1x02"/>
    <s v="Tongfang"/>
    <s v="Nie"/>
    <m/>
    <n v="4"/>
    <m/>
  </r>
  <r>
    <x v="495"/>
    <s v="-"/>
    <n v="30024880"/>
    <s v="-"/>
    <s v="Srebrny"/>
    <s v="Matowy 720p"/>
    <s v="128 GB eMMc;"/>
    <s v="4 GB"/>
    <s v="Celeron N3050"/>
    <s v="1,6 Ghz"/>
    <s v="Win 10"/>
    <x v="200"/>
    <s v="Pendrive"/>
    <s v="Obowiązkowa instrukcja ME.QA.02.528 / EC"/>
    <s v="S6219"/>
    <s v="NSBW1x02"/>
    <s v="Tongfang"/>
    <s v="Nie"/>
    <m/>
    <n v="4"/>
    <m/>
  </r>
  <r>
    <x v="496"/>
    <s v="-"/>
    <n v="30024858"/>
    <s v="-"/>
    <s v="Czarny"/>
    <s v="Matowy 1080p"/>
    <s v="128 GB eMMc;"/>
    <s v="4 GB"/>
    <s v="Celeron N3060"/>
    <s v="1,6 Ghz"/>
    <s v="Win 10"/>
    <x v="59"/>
    <s v="Pendrive"/>
    <s v="Obowiązkowa instrukcja ME.QA.02.528 / EC"/>
    <s v="S6219"/>
    <s v="NSBW1x02"/>
    <s v="Tongfang"/>
    <s v="Nie"/>
    <m/>
    <n v="4"/>
    <m/>
  </r>
  <r>
    <x v="497"/>
    <s v="-"/>
    <n v="30024905"/>
    <s v="-"/>
    <s v="Brązowy"/>
    <s v="Matowy 1080p"/>
    <s v="; 1 TB HDD"/>
    <s v="8 GB"/>
    <s v="M-5Y31"/>
    <s v="0,9-2,4 Ghz"/>
    <s v="Win 10"/>
    <x v="180"/>
    <s v="Pendrive"/>
    <s v="-"/>
    <s v="S6417"/>
    <s v="GOLG 2.0"/>
    <s v="Inventec"/>
    <s v="Nie"/>
    <m/>
    <n v="1"/>
    <m/>
  </r>
  <r>
    <x v="498"/>
    <s v="-"/>
    <n v="30024886"/>
    <s v="-"/>
    <s v="czarny gumowany"/>
    <s v="Matowy 1080p"/>
    <s v="128 GB SSD; 1 TB HDD"/>
    <s v="8 GB"/>
    <s v="i5-6200U"/>
    <s v="2,3-2,8 Ghz"/>
    <s v="Win 10"/>
    <x v="193"/>
    <s v="Pendrive"/>
    <s v="sponge/porony"/>
    <s v="P6661"/>
    <s v="D15S"/>
    <s v="Pegatron"/>
    <s v="Tak"/>
    <m/>
    <n v="3"/>
    <s v="GTX 950M 2 GB"/>
  </r>
  <r>
    <x v="499"/>
    <s v="-"/>
    <n v="30024887"/>
    <s v="-"/>
    <s v="czarny gumowany"/>
    <s v="Matowy 1080p"/>
    <s v="128 GB SSD; 1 TB HDD"/>
    <s v="8 GB"/>
    <s v="i5-6200U"/>
    <s v="2,3-2,8 Ghz"/>
    <s v="Win 10"/>
    <x v="228"/>
    <s v="Pendrive"/>
    <s v="sponge/porony"/>
    <s v="P6661"/>
    <s v="D15S"/>
    <s v="Pegatron"/>
    <s v="Tak"/>
    <m/>
    <n v="3"/>
    <s v="GTX 950M 4 GB"/>
  </r>
  <r>
    <x v="500"/>
    <s v="-"/>
    <n v="30024887"/>
    <s v="-"/>
    <s v="czarny gumowany"/>
    <s v="Matowy 1080p"/>
    <s v="256 GB SSD; 1,5 TB HDD "/>
    <s v="12 GB"/>
    <s v="i5-6200U"/>
    <s v="2,3-2,8 Ghz"/>
    <s v="Win 10"/>
    <x v="228"/>
    <s v="Pendrive"/>
    <s v="sponge/porony"/>
    <s v="P6661"/>
    <s v="D15S"/>
    <s v="Pegatron"/>
    <s v="Tak"/>
    <m/>
    <n v="3"/>
    <s v="GTX 950M 4 GB"/>
  </r>
  <r>
    <x v="501"/>
    <s v="-"/>
    <n v="30024906"/>
    <s v="-"/>
    <s v="czarny gumowany"/>
    <s v="Matowy 1080p"/>
    <s v="256 GB SSD; 1,5 TB HDD "/>
    <s v="16 GB"/>
    <s v="i7-6500U"/>
    <s v="2,5-3,1 GHz"/>
    <s v="Win 10"/>
    <x v="228"/>
    <s v="Pendrive"/>
    <s v="-"/>
    <s v="P7643"/>
    <s v="D17S"/>
    <s v="Pegatron"/>
    <s v="Tak"/>
    <m/>
    <n v="3"/>
    <s v="GTX 950M 4 GB"/>
  </r>
  <r>
    <x v="502"/>
    <s v="-"/>
    <n v="30024853"/>
    <s v="-"/>
    <s v="Srebrny"/>
    <s v="Dotykowy 1080P"/>
    <s v="128 GB eMMc;"/>
    <s v="4 GB"/>
    <s v="Pentium N4200"/>
    <s v="1,1 Ghz"/>
    <s v="Win 10"/>
    <x v="231"/>
    <s v="Pendrive"/>
    <s v="-"/>
    <s v="E3213"/>
    <s v="NT13A"/>
    <s v="Emdoor"/>
    <s v="Tak"/>
    <m/>
    <s v="bez"/>
    <m/>
  </r>
  <r>
    <x v="503"/>
    <s v="-"/>
    <n v="30024851"/>
    <s v="-"/>
    <s v="Srebrny"/>
    <s v="Dotykowy 1080P"/>
    <s v="64 GB eMMc;"/>
    <s v="4 GB"/>
    <s v="Celeron N3350"/>
    <s v="1,1 Ghz"/>
    <s v="Win 10"/>
    <x v="232"/>
    <s v="Pendrive"/>
    <s v="-"/>
    <s v="E3213"/>
    <s v="NT13A"/>
    <s v="Emdoor"/>
    <s v="Tak"/>
    <m/>
    <s v="bez"/>
    <m/>
  </r>
  <r>
    <x v="504"/>
    <s v="-"/>
    <n v="30024904"/>
    <s v="-"/>
    <s v="Biały"/>
    <s v="Dotykowy 720p"/>
    <s v="64 GB eMMc;"/>
    <s v="2 GB"/>
    <s v="Atom X5-Z8350"/>
    <s v="1,44-1,92 Ghz"/>
    <s v="Win 10"/>
    <x v="62"/>
    <s v="Pendrive"/>
    <s v="Magnesy w TOP CASE! Update biosu, do najwyższego Build Date."/>
    <s v="E2225T"/>
    <s v="NT16H"/>
    <s v="Emdoor"/>
    <s v="Nie"/>
    <m/>
    <n v="2"/>
    <m/>
  </r>
  <r>
    <x v="505"/>
    <s v="-"/>
    <n v="30024874"/>
    <s v="-"/>
    <s v="czarny gumowany"/>
    <s v="Matowy 1080p"/>
    <s v="128 GB SSD; 1 TB HDD"/>
    <s v="8 GB"/>
    <s v="i5-6200U"/>
    <s v="2,3-2,8 Ghz"/>
    <s v="Win 10"/>
    <x v="20"/>
    <s v="Pendrive"/>
    <s v="sponge/porony"/>
    <s v="P6661"/>
    <s v="D15S"/>
    <s v="Pegatron"/>
    <s v="Tak"/>
    <m/>
    <n v="3"/>
    <s v="GTX 950M 4 GB"/>
  </r>
  <r>
    <x v="506"/>
    <s v="-"/>
    <n v="30024881"/>
    <s v="-"/>
    <s v="czarny gumowany"/>
    <s v="Matowy 1080p"/>
    <s v="128 GB SSD; 1 TB HDD"/>
    <s v="8 GB"/>
    <s v="i7-6500U"/>
    <s v="2,5-3,1 GHz"/>
    <s v="Win 10"/>
    <x v="233"/>
    <s v="Pendrive"/>
    <s v="sponge/porony, SWM na C: 20062823 "/>
    <s v="P6661"/>
    <s v="D15S"/>
    <s v="Pegatron"/>
    <s v="Tak"/>
    <m/>
    <n v="3"/>
    <s v="GTX 950M 4 GB"/>
  </r>
  <r>
    <x v="507"/>
    <s v="-"/>
    <n v="30024911"/>
    <s v="-"/>
    <s v="Srebrny"/>
    <s v="Matowy 1080p"/>
    <s v="256 GB SSD;"/>
    <s v="8 GB"/>
    <s v="i7-7500U"/>
    <s v="2,7-3,5 Ghz"/>
    <s v="Win 10"/>
    <x v="37"/>
    <s v="Pendrive"/>
    <s v="-"/>
    <s v="S3409"/>
    <s v="F13K"/>
    <s v="Pegatron"/>
    <s v="Tak"/>
    <m/>
    <n v="3"/>
    <m/>
  </r>
  <r>
    <x v="508"/>
    <s v="-"/>
    <n v="30024876"/>
    <s v="-"/>
    <s v="Srebrny"/>
    <s v="Matowy 1080p"/>
    <s v="64 GB eMMc; 500 GB HDD"/>
    <s v="4 GB"/>
    <s v="Pentium N3710"/>
    <s v="1.6 Ghz"/>
    <s v="Win 10"/>
    <x v="23"/>
    <s v="Pendrive"/>
    <s v="EC"/>
    <s v="S4219"/>
    <s v="NSBW1x02"/>
    <s v="Tongfang"/>
    <s v="Nie"/>
    <m/>
    <n v="4"/>
    <m/>
  </r>
  <r>
    <x v="509"/>
    <s v="-"/>
    <n v="30024867"/>
    <s v="-"/>
    <s v="Biały"/>
    <s v="Matowy 1080p"/>
    <s v="32 GB eMMc;"/>
    <s v="2 GB"/>
    <s v="Atom Z3735F"/>
    <s v="1,33-1,83 Ghz"/>
    <s v="Win 10"/>
    <x v="15"/>
    <s v="Pendrive"/>
    <s v="-"/>
    <s v="S2217"/>
    <s v="EF20"/>
    <s v="ECS"/>
    <s v="Nie"/>
    <m/>
    <s v="bez"/>
    <m/>
  </r>
  <r>
    <x v="510"/>
    <s v="-"/>
    <n v="30024872"/>
    <s v="-"/>
    <s v="Srebrny"/>
    <s v="Matowy 1080p"/>
    <s v="128 GB SSD;"/>
    <s v="4 GB"/>
    <s v="i3-7100U"/>
    <s v="2,4 Ghz"/>
    <s v="Win 10"/>
    <x v="45"/>
    <s v="Pendrive"/>
    <s v="SWM na C: 20062822"/>
    <s v="S3409"/>
    <s v="F13K"/>
    <s v="Pegatron"/>
    <s v="Tak"/>
    <m/>
    <n v="3"/>
    <m/>
  </r>
  <r>
    <x v="511"/>
    <s v="-"/>
    <n v="30024910"/>
    <s v="-"/>
    <s v="Czarny"/>
    <s v="Matowy 1080p"/>
    <s v="128 GB SSD; 1,5 TB HDD"/>
    <s v="16 GB"/>
    <s v="i7-6700HQ"/>
    <s v="2,6-3,5 Ghz"/>
    <s v="Win 10"/>
    <x v="38"/>
    <s v="Pendrive"/>
    <s v="-"/>
    <s v="x6601"/>
    <s v="N155RD1-M"/>
    <s v="Clevo"/>
    <s v="Nie"/>
    <m/>
    <n v="3"/>
    <s v="GTX 960M 2 GB"/>
  </r>
  <r>
    <x v="512"/>
    <s v="-"/>
    <n v="30024866"/>
    <s v="-"/>
    <s v="Czarny"/>
    <s v="Matowy 1080p"/>
    <s v="256 GB SSD;"/>
    <s v="8 GB"/>
    <s v="i7-6700HQ"/>
    <s v="2,6-3,5 Ghz"/>
    <s v="Win 10"/>
    <x v="38"/>
    <s v="Pendrive"/>
    <s v="-"/>
    <s v="x6601"/>
    <s v="N155RD1-M"/>
    <s v="Clevo"/>
    <s v="Nie"/>
    <m/>
    <n v="3"/>
    <s v="GTX 960M 2 GB"/>
  </r>
  <r>
    <x v="513"/>
    <s v="-"/>
    <n v="30024859"/>
    <s v="-"/>
    <s v="Srebrny"/>
    <s v="Dotykowy 1080P"/>
    <s v="64 GB eMMc;"/>
    <s v="4 GB"/>
    <s v="Atom x5-Z8300"/>
    <s v="1,44-1,84 Ghz"/>
    <s v="Win 10"/>
    <x v="63"/>
    <s v="Pendrive"/>
    <s v="Magnesy w TOP CASE! Update biosu, do najwyższego Build Date."/>
    <s v="E2228T"/>
    <s v="NT16H"/>
    <s v="Emdoor"/>
    <s v="Nie"/>
    <m/>
    <n v="2"/>
    <m/>
  </r>
  <r>
    <x v="514"/>
    <s v="-"/>
    <n v="30025019"/>
    <s v="-"/>
    <s v="Srebrny"/>
    <s v="Dotykowy 1080P"/>
    <s v="64 GB eMMc;"/>
    <s v="4 GB"/>
    <s v="Pentium N4200"/>
    <s v="1,1 Ghz"/>
    <s v="Win 10"/>
    <x v="79"/>
    <s v="Pendrive"/>
    <s v="-"/>
    <s v="E3216"/>
    <s v="NT13A"/>
    <s v="Emdoor"/>
    <s v="Tak"/>
    <m/>
    <s v="bez"/>
    <m/>
  </r>
  <r>
    <x v="515"/>
    <s v="-"/>
    <n v="30025050"/>
    <s v="-"/>
    <s v="Srebrny"/>
    <s v="Dotykowy 1080P"/>
    <s v="64 GB eMMc;"/>
    <s v="4 GB"/>
    <s v="Pentium N4200"/>
    <s v="1,1 Ghz"/>
    <s v="Win 10"/>
    <x v="79"/>
    <s v="Pendrive"/>
    <s v="-"/>
    <s v="E3216"/>
    <s v="NT13A"/>
    <s v="Emdoor"/>
    <s v="Tak"/>
    <m/>
    <s v="bez"/>
    <m/>
  </r>
  <r>
    <x v="516"/>
    <s v="-"/>
    <n v="30024868"/>
    <s v="-"/>
    <s v="Grafitowy"/>
    <s v="Matowy 1080p"/>
    <s v="256 GB SSD; 1 TB HDD"/>
    <s v="8 GB"/>
    <s v="i5-7200U"/>
    <s v="2,5-3,1 Ghz"/>
    <s v="Win 10"/>
    <x v="48"/>
    <s v="Pendrive"/>
    <s v="tp firmaware"/>
    <s v="P7645"/>
    <s v="D17K"/>
    <s v="Pegatron"/>
    <s v="Tak"/>
    <m/>
    <n v="3"/>
    <s v="GTX 940 MX 2 GB"/>
  </r>
  <r>
    <x v="517"/>
    <s v="-"/>
    <n v="30025131"/>
    <s v="-"/>
    <s v="Czarny"/>
    <s v="Dotykowy 1080P"/>
    <s v="64 GB eMMc;"/>
    <s v="4 GB"/>
    <s v="Pentium N4200"/>
    <s v="1,1 Ghz"/>
    <s v="Win 10"/>
    <x v="234"/>
    <s v="Pendrive"/>
    <s v="-"/>
    <s v="E3215"/>
    <s v="NT13A"/>
    <s v="Emdoor"/>
    <s v="Tak"/>
    <m/>
    <s v="bez"/>
    <m/>
  </r>
  <r>
    <x v="518"/>
    <s v="-"/>
    <n v="30024885"/>
    <s v="-"/>
    <s v="czarny gumowany"/>
    <s v="Matowy 1080p"/>
    <s v="128 GB SSD; 1,5 TB HDD"/>
    <s v="12 GB"/>
    <s v="i7-6500U"/>
    <s v="2,5-3,1 GHz"/>
    <s v="Win 10"/>
    <x v="228"/>
    <s v="Pendrive"/>
    <s v="-"/>
    <s v="P7643"/>
    <s v="D17S"/>
    <s v="Pegatron"/>
    <s v="Tak"/>
    <m/>
    <n v="3"/>
    <s v="GTX 950M 4 GB"/>
  </r>
  <r>
    <x v="519"/>
    <s v="-"/>
    <n v="30024882"/>
    <s v="-"/>
    <s v="Grafitowy"/>
    <s v="Matowy 1080p"/>
    <s v="128 GB SSD; 1 TB HDD"/>
    <s v="8 GB"/>
    <s v="i5-7200U"/>
    <s v="2,5-3,1 Ghz"/>
    <s v="Win 10"/>
    <x v="48"/>
    <s v="Pendrive"/>
    <s v="tp firmaware"/>
    <s v="P7645"/>
    <s v="D17K"/>
    <s v="Pegatron"/>
    <s v="Tak"/>
    <m/>
    <n v="3"/>
    <s v="GTX 940 MX 2 GB"/>
  </r>
  <r>
    <x v="520"/>
    <s v="-"/>
    <n v="30025128"/>
    <s v="-"/>
    <s v="Czarny"/>
    <s v="Dotykowy 1080P"/>
    <s v="128 GB eMMc;"/>
    <s v="4 GB"/>
    <s v="Pentium N4200"/>
    <s v="1,1 Ghz"/>
    <s v="Win 10"/>
    <x v="234"/>
    <s v="Pendrive"/>
    <s v="-"/>
    <s v="E3215"/>
    <s v="NT13A"/>
    <s v="Emdoor"/>
    <s v="Tak"/>
    <m/>
    <s v="bez"/>
    <m/>
  </r>
  <r>
    <x v="521"/>
    <s v="-"/>
    <n v="30024857"/>
    <s v="-"/>
    <s v="Biały"/>
    <s v="Dotykowy 720p"/>
    <s v="32 GB eMMc;"/>
    <s v="2 GB"/>
    <s v="Atom x5-8350"/>
    <s v="1,44-1,92 Ghz"/>
    <s v="Win 10"/>
    <x v="32"/>
    <s v="Pendrive"/>
    <s v="Magnesy w TOP CASE! Update biosu, do najwyższego Build Date."/>
    <s v="E2215T"/>
    <s v="NT16H"/>
    <s v="Emdoor"/>
    <s v="Nie"/>
    <m/>
    <n v="2"/>
    <m/>
  </r>
  <r>
    <x v="522"/>
    <s v="-"/>
    <n v="30025124"/>
    <s v="-"/>
    <s v="Grafitowy"/>
    <s v="Matowy 1080p"/>
    <s v="128 GB SSD; 1,5 TB HDD"/>
    <s v="8 GB"/>
    <s v="i5-8250U"/>
    <s v="1,6-3,4 Ghz"/>
    <s v="Win 10"/>
    <x v="211"/>
    <s v="Pendrive"/>
    <s v="tp firmware"/>
    <s v="P7649"/>
    <s v="D17KxR"/>
    <s v="Pegatron"/>
    <s v="Tak"/>
    <m/>
    <n v="3"/>
    <s v="GTX 940 MX 2 GB"/>
  </r>
  <r>
    <x v="523"/>
    <s v="-"/>
    <n v="30025125"/>
    <s v="-"/>
    <s v="Grafitowy"/>
    <s v="Matowy 1080p"/>
    <s v="128 GB SSD; 1,5 TB HDD"/>
    <s v="8 GB"/>
    <s v="i7-8550U"/>
    <s v="1,8-4,0 Ghz"/>
    <s v="Win 10"/>
    <x v="211"/>
    <s v="Pendrive"/>
    <s v="-"/>
    <s v="P7649"/>
    <s v="D17KxR"/>
    <s v="Pegatron"/>
    <s v="Tak"/>
    <m/>
    <n v="3"/>
    <s v="GTX 940 MX 2 GB"/>
  </r>
  <r>
    <x v="524"/>
    <s v="-"/>
    <n v="30025085"/>
    <s v="-"/>
    <s v="Srebrny"/>
    <s v="Matowy 720p"/>
    <s v="; 500 GB HDD"/>
    <s v="8 GB"/>
    <s v="Pentium 4405U"/>
    <s v="2,1 GHz"/>
    <s v="Win10"/>
    <x v="18"/>
    <s v="Pendrive"/>
    <s v="-"/>
    <s v="E6429"/>
    <s v="E15S"/>
    <s v="Pegatron"/>
    <s v="Nie"/>
    <m/>
    <n v="3"/>
    <m/>
  </r>
  <r>
    <x v="525"/>
    <s v="-"/>
    <n v="30025126"/>
    <s v="-"/>
    <s v="Srebrny"/>
    <s v="Matowy 1080p"/>
    <s v="128 GB SSD; 1,5 TB HDD"/>
    <s v="6 GB"/>
    <s v="Pentium 4415U"/>
    <s v="2,3 Ghz"/>
    <s v="Win10"/>
    <x v="235"/>
    <s v="Pendrive"/>
    <s v="tp firmware"/>
    <s v="E6436 "/>
    <s v="E15K"/>
    <s v="Pegatron"/>
    <s v="Nie"/>
    <m/>
    <n v="3"/>
    <m/>
  </r>
  <r>
    <x v="526"/>
    <s v="-"/>
    <n v="30024901"/>
    <s v="-"/>
    <s v="czarny gumowany"/>
    <s v="Matowy 1080p"/>
    <s v="256 GB SSD; 1 TB HDD"/>
    <s v="16 GB"/>
    <s v="i7-7500U"/>
    <s v="2,7-3,5 Ghz"/>
    <s v="Win10"/>
    <x v="209"/>
    <s v="Pendrive"/>
    <s v="tp firmware"/>
    <s v="P7647"/>
    <s v="D17K"/>
    <s v="Pegatron"/>
    <s v="Tak"/>
    <m/>
    <n v="3"/>
    <s v="GTX 950M 4 GB"/>
  </r>
  <r>
    <x v="527"/>
    <s v="-"/>
    <n v="30024883"/>
    <s v="-"/>
    <s v="Srebrny"/>
    <s v="Matowy 1080p"/>
    <s v="128 GB SSD; 1,5 TB HDD"/>
    <s v="8 GB"/>
    <s v="i5-6200U"/>
    <s v="2,3-2,8 Ghz"/>
    <s v="Win10"/>
    <x v="53"/>
    <s v="Pendrive"/>
    <s v="sponge poron"/>
    <s v="E6421"/>
    <s v="D15S"/>
    <s v="Pegatron"/>
    <s v="Tak"/>
    <m/>
    <n v="3"/>
    <m/>
  </r>
  <r>
    <x v="528"/>
    <s v="-"/>
    <n v="30025087"/>
    <s v="-"/>
    <s v="Czarny"/>
    <s v="Matowy 1080p"/>
    <s v="256 GB SSD; 1,5 TB HDD"/>
    <s v="32 GB"/>
    <s v="i7-6700HQ"/>
    <s v="2,6-35 Ghz"/>
    <s v="Win10"/>
    <x v="38"/>
    <s v="Pendrive"/>
    <m/>
    <s v="X6601"/>
    <s v="N155RD1-M"/>
    <s v="Clevo"/>
    <s v="Nie"/>
    <m/>
    <n v="3"/>
    <s v="GTX 960M 2 GB"/>
  </r>
  <r>
    <x v="529"/>
    <s v="-"/>
    <n v="30025102"/>
    <s v="-"/>
    <s v="Srebrny"/>
    <s v="Błyszczący 720p"/>
    <s v="256 GB SSD;"/>
    <s v="4 GB"/>
    <s v="i3-6006U"/>
    <m/>
    <s v="Win10"/>
    <x v="65"/>
    <s v="Pendrive"/>
    <s v="usb 2.0"/>
    <s v="S6421"/>
    <s v="NSSL1502"/>
    <s v="Tongfang"/>
    <s v="Nie"/>
    <m/>
    <n v="4"/>
    <m/>
  </r>
  <r>
    <x v="530"/>
    <s v="-"/>
    <n v="30025100"/>
    <s v="-"/>
    <s v="Czarny"/>
    <s v="Matowy 1080p"/>
    <s v="256 GB SSD;"/>
    <s v="4 GB"/>
    <s v="i3-5005U"/>
    <s v="2 Ghz"/>
    <s v="Win 10"/>
    <x v="236"/>
    <s v="Pendrive"/>
    <s v="-"/>
    <s v="E7415"/>
    <s v="D17D"/>
    <s v="Pegatron"/>
    <s v="Tak"/>
    <m/>
    <n v="3"/>
    <m/>
  </r>
  <r>
    <x v="531"/>
    <s v="-"/>
    <n v="30025103"/>
    <s v="-"/>
    <s v="Srebrny"/>
    <s v="Matowy 1080p"/>
    <s v="128 GB SSD; 1 TB HDD"/>
    <s v="4 GB"/>
    <s v="i5-6200U"/>
    <s v="2,3-2,8 GHz"/>
    <s v="Win 10"/>
    <x v="53"/>
    <s v="Pendrive"/>
    <s v="sponge/porony"/>
    <s v="E6421"/>
    <s v="D15S"/>
    <s v="Pegatron"/>
    <s v="Tak"/>
    <m/>
    <n v="3"/>
    <m/>
  </r>
  <r>
    <x v="532"/>
    <s v="-"/>
    <n v="30025105"/>
    <s v="-"/>
    <s v="czarny gumowany"/>
    <s v="Matowy 1080p"/>
    <s v="; 1 TB HDD"/>
    <s v="8 GB"/>
    <s v="i5-7300HQ"/>
    <s v="2,5-3,5 Ghz"/>
    <s v="Win 10"/>
    <x v="208"/>
    <s v="Pendrive"/>
    <s v="Automatyczny shipping mode przy pieczętowaniu. Baterie bios podpina się odslonietymi pinami do góry."/>
    <s v="X6603"/>
    <s v="DY518"/>
    <s v="LCFC"/>
    <s v="Nie"/>
    <m/>
    <n v="4"/>
    <s v="GTX 1050 Ti 4 GB"/>
  </r>
  <r>
    <x v="533"/>
    <s v="-"/>
    <n v="30025104"/>
    <s v="-"/>
    <s v="czarny gumowany"/>
    <s v="Matowy 1080p"/>
    <s v="256 GB SSD; 1,5 TB HDD"/>
    <s v="16 GB"/>
    <s v="i7-7500U"/>
    <s v="2,7-3,5 Ghz"/>
    <s v="Win 10"/>
    <x v="227"/>
    <s v="Pendrive"/>
    <s v="-"/>
    <s v="P6681"/>
    <s v="E15KR"/>
    <s v="Pegatron"/>
    <s v="Nie"/>
    <m/>
    <n v="3"/>
    <s v="GTX 1050 4 GB"/>
  </r>
  <r>
    <x v="534"/>
    <s v="-"/>
    <n v="30025248"/>
    <s v="-"/>
    <s v="Srebrny"/>
    <s v="Matowy 1080p"/>
    <s v="256 GB SSD;"/>
    <s v="6 GB"/>
    <s v="i5-8250U"/>
    <s v="1,6-3,4 Ghz"/>
    <s v="Win 10"/>
    <x v="237"/>
    <s v="Pendrive"/>
    <s v="-"/>
    <s v="E6426"/>
    <s v="F15KxR"/>
    <s v="Pegatron"/>
    <s v="Tak"/>
    <m/>
    <n v="3"/>
    <m/>
  </r>
  <r>
    <x v="535"/>
    <s v="-"/>
    <n v="30025107"/>
    <s v="-"/>
    <s v="czarny gumowany"/>
    <s v="Matowy 1080p"/>
    <s v="256 GB SSD;"/>
    <s v="8 GB"/>
    <s v="i5-8250U"/>
    <s v="1,6-3,4 Ghz"/>
    <s v="Win 10"/>
    <x v="238"/>
    <s v="Pendrive"/>
    <s v="-"/>
    <s v="P6689"/>
    <s v="E15KR"/>
    <s v="Pegatron"/>
    <s v="Nie"/>
    <m/>
    <n v="3"/>
    <s v="GTX 1050 4 GB"/>
  </r>
  <r>
    <x v="536"/>
    <s v="-"/>
    <n v="30025081"/>
    <s v="-"/>
    <s v="czarny gumowany"/>
    <s v="Matowy 1080p"/>
    <s v="128 GB SSD; 1 TB HDD"/>
    <s v="8 GB"/>
    <s v="i7-6700HQ"/>
    <m/>
    <s v="Win10"/>
    <x v="239"/>
    <s v="Pendrive"/>
    <s v="WMSET przed flashem bios, EC"/>
    <s v="X7843"/>
    <s v="P670 RE1-M"/>
    <s v="Clevo"/>
    <s v="Nie"/>
    <m/>
    <n v="3"/>
    <s v="GRX 980M 4 GB"/>
  </r>
  <r>
    <x v="537"/>
    <s v="-"/>
    <n v="30025110"/>
    <s v="-"/>
    <s v="Srebrny"/>
    <s v="Dotykowy 1080P"/>
    <s v="128 GB eMMC;"/>
    <s v="2 GB"/>
    <s v="Atom x5-Z8350"/>
    <s v="1,44 - 1,92 Ghz"/>
    <s v="Win 10"/>
    <x v="240"/>
    <s v="Pendrive"/>
    <s v="-"/>
    <s v="E1239T"/>
    <s v="3165 3ND"/>
    <s v="Wingman"/>
    <s v="Nie"/>
    <m/>
    <n v="2"/>
    <m/>
  </r>
  <r>
    <x v="538"/>
    <s v="-"/>
    <n v="30024889"/>
    <s v="-"/>
    <s v="Złoty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39"/>
    <s v="-"/>
    <n v="30024856"/>
    <s v="-"/>
    <s v="Srebrny"/>
    <s v="Dotykowy 1080P"/>
    <s v="64 GB eMMC;"/>
    <s v="2 GB"/>
    <s v="Atom x5-Z8350"/>
    <s v="1,44 - 1,92 Ghz"/>
    <s v="Win 10"/>
    <x v="240"/>
    <s v="Pendrive"/>
    <s v="-"/>
    <s v="E1239T"/>
    <s v="3165 3ND"/>
    <s v="Wingman"/>
    <s v="Nie"/>
    <m/>
    <n v="2"/>
    <m/>
  </r>
  <r>
    <x v="540"/>
    <s v="-"/>
    <n v="30024873"/>
    <s v="-"/>
    <s v="Grafitowy"/>
    <s v="Matowy 1080p"/>
    <s v="256 GB SSD;"/>
    <s v="8 GB"/>
    <s v="i7-7500U"/>
    <s v="2,7-3,5 Ghz"/>
    <s v="Win10"/>
    <x v="42"/>
    <s v="Pendrive"/>
    <s v="tp firmware"/>
    <s v="P6677"/>
    <s v="E15K"/>
    <s v="Pegatron"/>
    <s v="Nie"/>
    <m/>
    <n v="3"/>
    <s v="GTX 940 MX 2 GB"/>
  </r>
  <r>
    <x v="541"/>
    <s v="-"/>
    <n v="30025101"/>
    <s v="-"/>
    <s v="Srebrny"/>
    <s v="Błyszczący 720p"/>
    <s v="128 GB eMMc; 1 TB HDD"/>
    <s v="8 GB"/>
    <s v="i5-6200U"/>
    <s v="2,3-2,8 Ghz"/>
    <s v="Win10"/>
    <x v="65"/>
    <s v="Pendrive"/>
    <m/>
    <s v="S6421"/>
    <s v="NSSL1502"/>
    <s v="Tongfang"/>
    <s v="Nie"/>
    <m/>
    <n v="4"/>
    <m/>
  </r>
  <r>
    <x v="542"/>
    <s v="-"/>
    <n v="30025236"/>
    <s v="-"/>
    <s v="czarny gumowany"/>
    <s v="Matowy 1080p"/>
    <s v="256 GB SSD; 1 TB HDD"/>
    <s v="8 GB"/>
    <s v="i5-7200U"/>
    <s v="2,5-3,1 Ghz"/>
    <s v="Win10"/>
    <x v="57"/>
    <s v="Pendrive"/>
    <s v="tp firmware"/>
    <s v="P7647"/>
    <s v="D17K"/>
    <s v="Pegatron"/>
    <s v="Tak"/>
    <m/>
    <n v="3"/>
    <s v="GTX 950M 4 GB"/>
  </r>
  <r>
    <x v="543"/>
    <s v="-"/>
    <n v="30025089"/>
    <s v="-"/>
    <s v="Srebrny"/>
    <s v="Błyszczący 1440p"/>
    <s v="256 GB SSD;"/>
    <s v="8 GB"/>
    <s v="i5-7200U"/>
    <s v="2,5-3,1 Ghz"/>
    <s v="Win10"/>
    <x v="45"/>
    <s v="Pendrive"/>
    <m/>
    <s v="S3409"/>
    <s v="F13K"/>
    <s v="Pegatron"/>
    <s v="Tak"/>
    <m/>
    <n v="3"/>
    <m/>
  </r>
  <r>
    <x v="544"/>
    <s v="-"/>
    <n v="30024879"/>
    <s v="-"/>
    <s v="Biały"/>
    <s v="Błyszczący 720p"/>
    <s v="256 GB SSD;"/>
    <s v="4 GB"/>
    <s v="i3-6006U"/>
    <s v="2,3 Ghz"/>
    <s v="Win10"/>
    <x v="65"/>
    <s v="Pendrive"/>
    <m/>
    <s v="S6421"/>
    <s v="NSSL1502"/>
    <s v="Tongfang"/>
    <s v="Nie"/>
    <m/>
    <n v="4"/>
    <m/>
  </r>
  <r>
    <x v="545"/>
    <s v="-"/>
    <n v="30025106"/>
    <s v="-"/>
    <s v="Biały"/>
    <s v="Matowy 1080p"/>
    <s v="128 GB eMMc;"/>
    <s v="4 GB"/>
    <s v="i3-6006U"/>
    <s v="2,3 Ghz"/>
    <s v="Win10"/>
    <x v="65"/>
    <s v="Pendrive"/>
    <m/>
    <s v="S6421"/>
    <s v="NSSL1502"/>
    <s v="Tongfang"/>
    <s v="Nie"/>
    <m/>
    <n v="4"/>
    <m/>
  </r>
  <r>
    <x v="546"/>
    <s v="-"/>
    <n v="30025233"/>
    <s v="-"/>
    <s v="czarny gumowany"/>
    <s v="Matowy 1080p"/>
    <s v="480 GB SSD; 2 TB HDD"/>
    <s v="32 GB"/>
    <s v="i7-6820HK"/>
    <s v="2,7-3,6 Ghz"/>
    <s v="Win10"/>
    <x v="213"/>
    <s v="Pendrive"/>
    <m/>
    <s v="X7849"/>
    <s v="P670RS-GM"/>
    <s v="Clevo"/>
    <s v="Nie"/>
    <m/>
    <n v="3"/>
    <s v="GTX 1070 8 GB"/>
  </r>
  <r>
    <x v="547"/>
    <s v="-"/>
    <m/>
    <s v="-"/>
    <s v="Grafitowy"/>
    <s v="Matowy 1080p"/>
    <s v="128 GB SSD; 1 TB HDD"/>
    <s v="8 GB"/>
    <s v="i7-7500U"/>
    <s v="2,7-3,5 Ghz"/>
    <s v="Win10"/>
    <x v="48"/>
    <s v="Pendrive"/>
    <s v="tp firmware, KB NL!"/>
    <s v="P7645"/>
    <s v="D17K"/>
    <s v="Pegatron"/>
    <s v="Tak"/>
    <m/>
    <n v="3"/>
    <s v="GTX 940MX 2 GB"/>
  </r>
  <r>
    <x v="548"/>
    <s v="-"/>
    <n v="30025123"/>
    <s v="-"/>
    <s v="czarny gumowany"/>
    <s v="Matowy 1080p"/>
    <s v="256 GB SSD; 1 TB HDD"/>
    <s v="16 GB"/>
    <s v="i7-8550U"/>
    <s v="1,8-4,0 Ghz"/>
    <s v="Win 10"/>
    <x v="242"/>
    <s v="Pendrive"/>
    <s v="-"/>
    <s v="P7651"/>
    <s v="D17KxR"/>
    <s v="Pegatron"/>
    <s v="Tak"/>
    <m/>
    <n v="3"/>
    <s v="GTX 1050 4 GB"/>
  </r>
  <r>
    <x v="549"/>
    <s v="-"/>
    <n v="30025111"/>
    <s v="-"/>
    <s v="Czarny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0"/>
    <s v="-"/>
    <n v="30024891"/>
    <s v="-"/>
    <s v="Biały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1"/>
    <s v="-"/>
    <n v="30025115"/>
    <s v="-"/>
    <s v="Biały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2"/>
    <s v="-"/>
    <n v="30025116"/>
    <s v="-"/>
    <s v="rose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3"/>
    <s v="-"/>
    <n v="30025113"/>
    <s v="-"/>
    <s v="Złoty"/>
    <s v="Dotykowy 720p"/>
    <s v="32 GB eMMc;"/>
    <s v="2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4"/>
    <s v="-"/>
    <n v="30025112"/>
    <s v="-"/>
    <s v="Czarny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5"/>
    <s v="-"/>
    <n v="30024892"/>
    <s v="-"/>
    <s v="rose"/>
    <s v="Dotykowy 720p"/>
    <s v="64 GB eMMc;"/>
    <s v="4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6"/>
    <s v="-"/>
    <n v="30025114"/>
    <s v="-"/>
    <s v="Biały"/>
    <s v="Dotykowy 720p"/>
    <s v="128 GB eMMc;"/>
    <s v="4 GB"/>
    <s v="Atom x5-Z8350"/>
    <s v="1,44-1,92 Ghz"/>
    <s v="Win 10"/>
    <x v="241"/>
    <s v="Pendrive"/>
    <s v="Update biosu, do najwyższego Build Date."/>
    <s v="E2221T"/>
    <s v="NT16H"/>
    <s v="Emdoor"/>
    <s v="Nie"/>
    <m/>
    <n v="2"/>
    <m/>
  </r>
  <r>
    <x v="557"/>
    <s v="-"/>
    <n v="30025240"/>
    <s v="-"/>
    <s v="czarny gumowany"/>
    <s v="Matowy 1080p"/>
    <s v="256 GB SSD; 1 TB HDD"/>
    <s v="16 GB"/>
    <s v="i7-7700HQ"/>
    <s v="2,8-3,8 Ghz"/>
    <s v="Win10"/>
    <x v="243"/>
    <s v="Pendrive"/>
    <m/>
    <s v="X7853"/>
    <s v="P670RS"/>
    <s v="Clevo"/>
    <s v="Nie"/>
    <m/>
    <n v="3"/>
    <s v="GTX 1070 8 GB"/>
  </r>
  <r>
    <x v="558"/>
    <s v="-"/>
    <n v="30025238"/>
    <s v="-"/>
    <s v="czarny gumowany"/>
    <s v="Matowy 1080p"/>
    <s v="256 GB SSD; 1 TB HDD"/>
    <s v="16 GB"/>
    <s v="i7-7700HQ"/>
    <s v="2,8-3,8 Ghz"/>
    <s v="Win10"/>
    <x v="243"/>
    <s v="Pendrive"/>
    <m/>
    <s v="X7851"/>
    <s v="P670RS"/>
    <s v="Clevo"/>
    <s v="Nie"/>
    <m/>
    <n v="3"/>
    <s v="GTX 1060 6 GB"/>
  </r>
  <r>
    <x v="559"/>
    <s v="-"/>
    <n v="30025121"/>
    <s v="-"/>
    <s v="czarny gumowany"/>
    <s v="Matowy 1080p"/>
    <s v="128 GB SSD; 1 TB HDD"/>
    <s v="16 GB"/>
    <s v="i5-7300HQ"/>
    <s v="2,5-3,5 Ghz"/>
    <s v="Win10"/>
    <x v="244"/>
    <s v="Pendrive"/>
    <m/>
    <s v="X7851"/>
    <s v="P670RS"/>
    <s v="Clevo"/>
    <s v="Nie"/>
    <m/>
    <n v="3"/>
    <s v="GTX 1060 6 GB"/>
  </r>
  <r>
    <x v="560"/>
    <s v="-"/>
    <n v="30025239"/>
    <s v="-"/>
    <s v="czarny gumowany"/>
    <s v="Matowy 1080p"/>
    <s v="128 GB SSD; 1 TB HDD"/>
    <s v="16 GB"/>
    <s v="i7-7700HQ"/>
    <s v="2,8-3,8 Ghz"/>
    <s v="Win10"/>
    <x v="243"/>
    <s v="Pendrive"/>
    <m/>
    <s v="X7851"/>
    <s v="P670RS"/>
    <s v="Clevo"/>
    <s v="Nie"/>
    <m/>
    <n v="3"/>
    <s v="GTX 1060 6 GB"/>
  </r>
  <r>
    <x v="561"/>
    <s v="-"/>
    <n v="30025082"/>
    <s v="-"/>
    <s v="Czarny, gumowany"/>
    <s v="Matowy 1080p"/>
    <s v="128 GB SSD; 1 TB HDD"/>
    <s v="8 GB"/>
    <s v="i7-6700HQ"/>
    <s v="2,7-3,0 Ghz"/>
    <s v="Win 10"/>
    <x v="239"/>
    <s v="Pendrive"/>
    <s v="BIOS: Najpierw odpalić Wmset, Potem z konsoli amin. Flashmewinx64."/>
    <s v="x7841"/>
    <s v="P670 RE1-M"/>
    <s v="Clevo"/>
    <s v="Nie"/>
    <s v="-"/>
    <n v="3"/>
    <s v="GTX 970M 3GB"/>
  </r>
  <r>
    <x v="562"/>
    <s v="-"/>
    <n v="30025247"/>
    <s v="-"/>
    <s v="czarny gumowany"/>
    <s v="Matowy 1080p"/>
    <s v="256 GB SSD; 1,5 TB HDD"/>
    <s v="8 GB"/>
    <s v="i5-8250U"/>
    <s v="1,6-3,4 Ghz"/>
    <s v="Win 10"/>
    <x v="242"/>
    <s v="Pendrive"/>
    <s v="-"/>
    <s v="P7651"/>
    <s v="D17KxR"/>
    <s v="Pegatron"/>
    <s v="Tak"/>
    <m/>
    <n v="3"/>
    <s v="GTX 1050 4 GB"/>
  </r>
  <r>
    <x v="563"/>
    <s v="-"/>
    <n v="3002863"/>
    <s v="-"/>
    <s v="Srebrny"/>
    <s v="Dotykowy 1080P"/>
    <s v="64 GB eMMC;"/>
    <s v="2 GB"/>
    <s v="Atom x5-Z8350"/>
    <s v="1,44 - 1,92 Ghz"/>
    <s v="Win 10"/>
    <x v="245"/>
    <s v="Pendrive"/>
    <s v="-"/>
    <s v="E1239T"/>
    <s v="3165 3ND"/>
    <s v="Wingman"/>
    <s v="Nie"/>
    <m/>
    <n v="2"/>
    <m/>
  </r>
  <r>
    <x v="564"/>
    <s v="-"/>
    <n v="30025108"/>
    <s v="-"/>
    <s v="czarny gumowany"/>
    <s v="Matowy 1080p"/>
    <s v="256 GB SSD;"/>
    <s v="8 GB"/>
    <s v="i5-6200U"/>
    <s v="2,3-2,8 Ghz"/>
    <s v="Win 10"/>
    <x v="20"/>
    <s v="Pendrive"/>
    <s v="-"/>
    <s v="P7643"/>
    <s v="D17S"/>
    <s v="Pegatron"/>
    <s v="Tak"/>
    <m/>
    <n v="3"/>
    <s v="GTX 950M 4 GB"/>
  </r>
  <r>
    <x v="565"/>
    <s v="-"/>
    <n v="30025246"/>
    <s v="-"/>
    <s v="czarny gumowany"/>
    <s v="Matowy 1080p"/>
    <s v="128 GB SSD; 1 TB HDD"/>
    <s v="8 GB"/>
    <s v="i5-7200U"/>
    <s v="2,5-3,1 Ghz"/>
    <s v="Win 10"/>
    <x v="246"/>
    <s v="Pendrive"/>
    <s v="tp firmware, sponge / poron"/>
    <s v="P6679"/>
    <s v="D15K"/>
    <s v="Pegatron"/>
    <s v="Tak"/>
    <m/>
    <n v="3"/>
    <s v="GTX 950M 4 GB"/>
  </r>
  <r>
    <x v="566"/>
    <s v="-"/>
    <n v="30025249"/>
    <s v="-"/>
    <s v="Srebrny"/>
    <s v="Matowy 1080p"/>
    <s v="64 GB eMMc;"/>
    <s v="4 GB"/>
    <s v="Atom x5-Z8350"/>
    <s v="1,44 - 1,92 Ghz"/>
    <s v="Win 10"/>
    <x v="247"/>
    <s v="Pendrive"/>
    <s v="Nowe zasilacze!"/>
    <s v="E4242"/>
    <s v="N14H"/>
    <s v="Emdoor"/>
    <s v="Nie"/>
    <m/>
    <s v="X"/>
    <m/>
  </r>
  <r>
    <x v="567"/>
    <s v="-"/>
    <n v="30025117"/>
    <s v="-"/>
    <s v="Czarny"/>
    <s v="Matowy 1080p"/>
    <s v="64 GB eMMc;"/>
    <s v="4 GB"/>
    <s v="Celeron N3060"/>
    <s v="1,6-2,48 Ghz"/>
    <s v="Win 10"/>
    <x v="68"/>
    <s v="Pendrive"/>
    <m/>
    <s v="S4219"/>
    <s v="NSBW1402"/>
    <s v="Tongfang"/>
    <s v="Nie"/>
    <m/>
    <n v="4"/>
    <m/>
  </r>
  <r>
    <x v="568"/>
    <s v="-"/>
    <n v="30025127"/>
    <s v="-"/>
    <s v="Srebrny"/>
    <s v="Matowy 720p"/>
    <s v="; 1,5 TB"/>
    <s v="8 GB"/>
    <s v="Pentium 4415U"/>
    <m/>
    <s v="Win 10"/>
    <x v="226"/>
    <s v="Pendrive"/>
    <s v="tp firmware"/>
    <s v="E6435"/>
    <s v="E15K"/>
    <s v="Pegatron"/>
    <s v="Nie"/>
    <m/>
    <n v="3"/>
    <m/>
  </r>
  <r>
    <x v="569"/>
    <s v="-"/>
    <n v="30025241"/>
    <s v="-"/>
    <s v="Czarny"/>
    <s v="Dotykowy 1080P"/>
    <s v="64 GB eMMc;"/>
    <s v="4 GB"/>
    <s v="Atom x5-Z8350"/>
    <s v="1,44-1,92 Ghz"/>
    <s v="Win 10"/>
    <x v="212"/>
    <s v="Pendrive"/>
    <s v="Update biosu, do najwyższego Build Date."/>
    <s v="E2225T"/>
    <s v="NT16H"/>
    <s v="Emdoor"/>
    <s v="Nie"/>
    <m/>
    <n v="2"/>
    <m/>
  </r>
  <r>
    <x v="570"/>
    <s v="-"/>
    <n v="30025232"/>
    <s v="-"/>
    <s v="Czarny"/>
    <s v="Matowy 1080p"/>
    <s v="256 GB SSD; 1 TB HDD"/>
    <s v="16 GB"/>
    <s v="i7-6700HQ"/>
    <s v="2,6-3,5 Ghz"/>
    <s v="Win 10"/>
    <x v="38"/>
    <s v="Pendrive"/>
    <m/>
    <s v="X6601"/>
    <s v="N155RD1-M"/>
    <s v="Clevo"/>
    <s v="Nie"/>
    <m/>
    <n v="3"/>
    <s v="GTX 960M 2 GB"/>
  </r>
  <r>
    <x v="571"/>
    <s v="-"/>
    <s v="30025250;30025458"/>
    <s v="-"/>
    <s v="srebrny;złoty"/>
    <s v="Dotykowy 1080P"/>
    <s v="64 GB eMMc;"/>
    <s v="4 GB"/>
    <s v="Atom x5-Z8350"/>
    <s v="1,44-1,92 Ghz"/>
    <s v="Win 10"/>
    <x v="63"/>
    <s v="Pendrive"/>
    <s v="Magnesy w TOP CASE! Update biosu, do najwyższego Build Date."/>
    <s v="E2228T"/>
    <s v="NT16H"/>
    <s v="Emdoor"/>
    <s v="Nie"/>
    <m/>
    <n v="2"/>
    <m/>
  </r>
  <r>
    <x v="572"/>
    <s v="-"/>
    <n v="30024893"/>
    <s v="-"/>
    <s v="Srebrny"/>
    <s v="Matowy 1080p"/>
    <s v="64 GB eMMc;"/>
    <s v="4 GB"/>
    <s v="Celeron N3160"/>
    <s v="1,6-2,24 Ghz"/>
    <s v="Win 10"/>
    <x v="248"/>
    <s v="Pendrive"/>
    <s v="EC"/>
    <s v="S4219"/>
    <s v="NSBW1402"/>
    <s v="Tongfang"/>
    <s v="Nie"/>
    <m/>
    <n v="4"/>
    <m/>
  </r>
  <r>
    <x v="573"/>
    <s v="-"/>
    <n v="30025086"/>
    <s v="-"/>
    <s v="Czarny"/>
    <s v="Matowy 1080p"/>
    <s v="256 GB SSD; 1 TB HDD"/>
    <s v="8 GB"/>
    <s v="i7-6700HQ"/>
    <s v="2,6-3,5 Ghz"/>
    <s v="Win 10"/>
    <x v="38"/>
    <s v="Pendrive"/>
    <m/>
    <s v="X6601"/>
    <s v="N155RD1-M"/>
    <s v="Clevo"/>
    <s v="Nie"/>
    <m/>
    <n v="3"/>
    <s v="GTX 960M 2 GB"/>
  </r>
  <r>
    <x v="574"/>
    <s v="-"/>
    <n v="30025231"/>
    <s v="-"/>
    <s v="czarny gumowany"/>
    <s v="Matowy 1080p"/>
    <s v="128 GB SSD;  1 TB HDD ;500 GB HDD"/>
    <s v="8 GB"/>
    <s v="i7-6700HQ"/>
    <s v="2,6-3,5 Ghz"/>
    <s v="Win 10"/>
    <x v="214"/>
    <s v="Pendrive"/>
    <s v="Recovery po wgraniu image/ EC/ włączyć kamerę Fn + F10"/>
    <s v="X7842"/>
    <s v="P670RE1M"/>
    <s v="Clevo"/>
    <s v="Nie"/>
    <m/>
    <n v="3"/>
    <s v="GTX 970M 3 GB"/>
  </r>
  <r>
    <x v="575"/>
    <s v="-"/>
    <n v="30024878"/>
    <s v="-"/>
    <s v="Srebrny"/>
    <s v="Matowy 1080p"/>
    <s v="256 GB SSD;"/>
    <s v="4 GB"/>
    <s v="i5-7200U"/>
    <s v="2,5-3,1 Ghz"/>
    <s v="Win 10"/>
    <x v="35"/>
    <s v="Pendrive"/>
    <m/>
    <s v="S3409"/>
    <s v="F13K"/>
    <s v="Pegatron"/>
    <s v="Tak"/>
    <m/>
    <n v="3"/>
    <m/>
  </r>
  <r>
    <x v="576"/>
    <s v="-"/>
    <n v="30025068"/>
    <s v="-"/>
    <s v="Srebrny"/>
    <s v="Matowy 1080p"/>
    <s v="64 GB eMMc;"/>
    <s v="2 GB"/>
    <s v="Atom Z3735F"/>
    <s v="1,33-1,83 Ghz"/>
    <s v="Win 10"/>
    <x v="15"/>
    <s v="Pendrive"/>
    <s v="Bateria bios"/>
    <s v="S2217"/>
    <s v="EF20"/>
    <s v="ECS"/>
    <s v="Nie"/>
    <m/>
    <s v="bez"/>
    <m/>
  </r>
  <r>
    <x v="577"/>
    <s v="-"/>
    <n v="30025122"/>
    <s v="-"/>
    <s v="Czarny"/>
    <s v="Dotykowy 1080P"/>
    <s v="256 GB SSD;"/>
    <s v="8 GB"/>
    <s v="i5-7Y54"/>
    <s v="1,2-3,2 Ghz"/>
    <s v="Win 10"/>
    <x v="249"/>
    <s v="Pendrive"/>
    <s v="Obudowę trzymają magnesy, zaczynając dużą kostką od dołu można otworzyć jednostkę. Image spod usb C pomaga w razie problemów."/>
    <s v="P3403"/>
    <s v="S125K"/>
    <s v="Emdoor"/>
    <s v="Tak"/>
    <m/>
    <n v="4"/>
    <m/>
  </r>
  <r>
    <x v="578"/>
    <s v="-"/>
    <n v="30025119"/>
    <s v="-"/>
    <s v="Biały"/>
    <s v="Dotykowy 1080P"/>
    <s v="64 GB eMMc;"/>
    <s v="4 GB"/>
    <s v="Celeron N3350"/>
    <s v="1,1-2,4 Ghz"/>
    <s v="Win 10"/>
    <x v="232"/>
    <s v="Pendrive"/>
    <s v="EC"/>
    <s v="E3213"/>
    <s v="NT13A"/>
    <s v="Emdoor"/>
    <s v="Tak"/>
    <m/>
    <s v="bez"/>
    <m/>
  </r>
  <r>
    <x v="579"/>
    <s v="-"/>
    <n v="30024648"/>
    <s v="-"/>
    <s v="Biały"/>
    <s v="Matowy 1080p"/>
    <s v="64 GB eMMc;"/>
    <s v="2 GB"/>
    <s v="Atom Z3735F"/>
    <s v="1,33-1,83 Ghz"/>
    <s v="Win 10"/>
    <x v="250"/>
    <s v="Pendrive"/>
    <s v="Bateria BIOS"/>
    <s v="S2217"/>
    <s v="EF20"/>
    <s v="ECS"/>
    <s v="Nie"/>
    <m/>
    <s v="bez"/>
    <m/>
  </r>
  <r>
    <x v="580"/>
    <s v="-"/>
    <n v="30025242"/>
    <s v="-"/>
    <s v="Srebrny"/>
    <s v="Matowy 1080p"/>
    <s v="128 GB SSD; 1 TB HDD"/>
    <s v="8 GB"/>
    <s v="i5-8250U"/>
    <s v="1,6-3,4 Ghz"/>
    <s v="Win 10"/>
    <x v="251"/>
    <s v="Pendrive"/>
    <m/>
    <s v="P6687"/>
    <s v="F15KxR"/>
    <s v="Pegatron"/>
    <s v="Tak"/>
    <m/>
    <n v="3"/>
    <s v="MX150 2GB"/>
  </r>
  <r>
    <x v="581"/>
    <s v="-"/>
    <n v="30025245"/>
    <s v="-"/>
    <s v="czarny gumowany"/>
    <s v="Matowy 1080p"/>
    <s v="128 GB SSD; 1 TB HDD"/>
    <s v="8 GB"/>
    <s v="i5-8250U"/>
    <s v="1,6-3,4 Ghz"/>
    <s v="Win 10"/>
    <x v="242"/>
    <s v="Pendrive"/>
    <s v="-"/>
    <s v="P7651"/>
    <s v="D17KxR"/>
    <s v="Pegatron"/>
    <s v="Tak"/>
    <m/>
    <n v="3"/>
    <s v="GTX 1050 4 GB"/>
  </r>
  <r>
    <x v="582"/>
    <s v="-"/>
    <n v="30025237"/>
    <s v="-"/>
    <s v="czarny gumowany"/>
    <s v="Matowy 1080p"/>
    <s v="256 GB SSD; 1 TB HDD"/>
    <s v="16 GB"/>
    <s v="i5-7200U"/>
    <s v="2,5 Ghz"/>
    <s v="Win 10"/>
    <x v="227"/>
    <s v="Pendrive"/>
    <s v="-"/>
    <s v="P6681"/>
    <s v="E15KR"/>
    <s v="Pegatron"/>
    <s v="Nie"/>
    <m/>
    <n v="3"/>
    <s v="GTX 1050 4 GB"/>
  </r>
  <r>
    <x v="583"/>
    <s v="-"/>
    <n v="30025230"/>
    <s v="-"/>
    <s v="Brązowy"/>
    <s v="Matowy 720p"/>
    <s v="; 1 TB HDD"/>
    <s v="6 GB"/>
    <s v="i5-4210M"/>
    <s v="2,6 Ghz"/>
    <s v="Win 10"/>
    <x v="252"/>
    <s v="Pendrive"/>
    <s v="-"/>
    <s v="P7632"/>
    <s v="C17B"/>
    <s v="Pegatron"/>
    <s v="Nie"/>
    <m/>
    <n v="3"/>
    <s v="825 M"/>
  </r>
  <r>
    <x v="584"/>
    <s v="-"/>
    <n v="30025080"/>
    <s v="-"/>
    <s v="czarny gumowany"/>
    <s v="Matowy 1080p"/>
    <s v="256 GB SSD;  1 TB HDD"/>
    <s v="16 GB"/>
    <s v="i7-6700HQ"/>
    <s v="2,6-3,5 Ghz"/>
    <s v="Win 10"/>
    <x v="253"/>
    <s v="Pendrive"/>
    <s v="Sterownik bluetooth wgrać ręcznie, plik w folderze Z:\refurbish     /EC/ włączyć kamerę Fn + F10"/>
    <s v="X7843"/>
    <s v="P670RE1-M"/>
    <s v="Clevo"/>
    <s v="Nie"/>
    <m/>
    <n v="3"/>
    <s v="GTX 980M 4 GB"/>
  </r>
  <r>
    <x v="585"/>
    <s v="-"/>
    <n v="30024895"/>
    <s v="-"/>
    <s v="Biały"/>
    <s v="Matowy 1080p"/>
    <s v="32 GB eMMc;"/>
    <s v="2 GB"/>
    <s v="Celeron N2840"/>
    <m/>
    <s v="Win 10"/>
    <x v="254"/>
    <s v="Pendrive"/>
    <s v="EC"/>
    <s v="E4213"/>
    <s v="NDBT1401"/>
    <s v="Tongfang"/>
    <s v="Nie"/>
    <m/>
    <n v="3"/>
    <m/>
  </r>
  <r>
    <x v="586"/>
    <s v="-"/>
    <n v="30025129"/>
    <s v="-"/>
    <s v="Srebrny"/>
    <s v="Matowy 1080p"/>
    <s v="64 GB eMMc;"/>
    <s v="2 GB"/>
    <s v="Atom x5-8350"/>
    <s v="1,44-1,92 Ghz"/>
    <s v="Win 10"/>
    <x v="255"/>
    <s v="Pendrive"/>
    <s v="Nowe zasilacze!"/>
    <s v="E4241"/>
    <s v="N14H"/>
    <s v="Emdoor"/>
    <s v="Nie"/>
    <m/>
    <n v="2"/>
    <m/>
  </r>
  <r>
    <x v="587"/>
    <s v="-"/>
    <n v="30024896"/>
    <s v="-"/>
    <s v="Srebrny"/>
    <s v="Matowy 720p"/>
    <s v="; 500 GB HDD"/>
    <s v="4 GB"/>
    <s v="Celeron N2840"/>
    <s v="2,16-2,58 Ghz"/>
    <s v="Win 10"/>
    <x v="256"/>
    <s v="Pendrive"/>
    <s v="DPK wgrywać nowy klucz WIN 10"/>
    <s v="E6239"/>
    <s v="C15M"/>
    <s v="Pegatron"/>
    <s v="Nie"/>
    <m/>
    <n v="3"/>
    <m/>
  </r>
  <r>
    <x v="588"/>
    <s v="-"/>
    <n v="30025118"/>
    <s v="-"/>
    <s v="Srebrny"/>
    <s v="Dotykowy 720p"/>
    <s v="64 GB eMMc;"/>
    <s v="2 GB"/>
    <s v="Atom x5-Z8350"/>
    <s v="1,44-1,92 Ghz"/>
    <s v="Win 10"/>
    <x v="212"/>
    <s v="Pendrive"/>
    <s v="Jeśli jest problem z wgraniem img użyć USB 2.0"/>
    <s v="E2225T"/>
    <s v="NT16H"/>
    <s v="Emdoor"/>
    <s v="Nie"/>
    <m/>
    <n v="2"/>
    <m/>
  </r>
  <r>
    <x v="589"/>
    <s v="-"/>
    <n v="30025234"/>
    <s v="-"/>
    <s v="Czarny"/>
    <s v="Dotykowy 1080P"/>
    <s v="128 GB SSD;"/>
    <s v="4 GB"/>
    <s v="m3-6Y30"/>
    <s v="0,9-2,2 Ghz"/>
    <s v="Win 10"/>
    <x v="64"/>
    <s v="Pendrive"/>
    <m/>
    <s v="P3401"/>
    <s v="3ND"/>
    <s v="Wingman"/>
    <s v="Nie"/>
    <m/>
    <n v="4"/>
    <m/>
  </r>
  <r>
    <x v="590"/>
    <s v="-"/>
    <n v="30024894"/>
    <s v="-"/>
    <s v="Srebrny"/>
    <s v="Matowy 1080p"/>
    <s v="64 GB eMMc;"/>
    <s v="2 GB"/>
    <s v="Atom Z3735F"/>
    <s v="1,33-1,83 Ghz"/>
    <s v="Win 10"/>
    <x v="15"/>
    <s v="Pendrive"/>
    <m/>
    <s v="S2217"/>
    <s v="EF20"/>
    <s v="ECS"/>
    <s v="Nie"/>
    <m/>
    <s v="bez"/>
    <m/>
  </r>
  <r>
    <x v="591"/>
    <m/>
    <m/>
    <m/>
    <m/>
    <m/>
    <m/>
    <m/>
    <m/>
    <m/>
    <m/>
    <x v="257"/>
    <m/>
    <m/>
    <m/>
    <m/>
    <m/>
    <m/>
    <m/>
    <m/>
    <m/>
  </r>
  <r>
    <x v="591"/>
    <m/>
    <m/>
    <m/>
    <m/>
    <m/>
    <m/>
    <m/>
    <m/>
    <m/>
    <m/>
    <x v="257"/>
    <m/>
    <m/>
    <m/>
    <m/>
    <m/>
    <m/>
    <m/>
    <m/>
    <m/>
  </r>
  <r>
    <x v="591"/>
    <m/>
    <m/>
    <m/>
    <m/>
    <m/>
    <m/>
    <m/>
    <m/>
    <m/>
    <m/>
    <x v="257"/>
    <m/>
    <m/>
    <m/>
    <m/>
    <m/>
    <m/>
    <m/>
    <m/>
    <m/>
  </r>
  <r>
    <x v="591"/>
    <m/>
    <m/>
    <m/>
    <m/>
    <m/>
    <m/>
    <m/>
    <m/>
    <m/>
    <m/>
    <x v="257"/>
    <m/>
    <m/>
    <m/>
    <m/>
    <m/>
    <m/>
    <m/>
    <m/>
    <m/>
  </r>
  <r>
    <x v="591"/>
    <m/>
    <m/>
    <m/>
    <m/>
    <m/>
    <m/>
    <m/>
    <m/>
    <m/>
    <m/>
    <x v="257"/>
    <m/>
    <m/>
    <m/>
    <m/>
    <m/>
    <m/>
    <m/>
    <m/>
    <m/>
  </r>
  <r>
    <x v="591"/>
    <m/>
    <m/>
    <m/>
    <m/>
    <m/>
    <m/>
    <m/>
    <m/>
    <m/>
    <m/>
    <x v="257"/>
    <m/>
    <m/>
    <m/>
    <m/>
    <m/>
    <m/>
    <m/>
    <m/>
    <m/>
  </r>
  <r>
    <x v="591"/>
    <m/>
    <m/>
    <m/>
    <m/>
    <m/>
    <m/>
    <m/>
    <m/>
    <m/>
    <m/>
    <x v="257"/>
    <m/>
    <m/>
    <m/>
    <m/>
    <m/>
    <m/>
    <m/>
    <m/>
    <m/>
  </r>
  <r>
    <x v="591"/>
    <m/>
    <m/>
    <m/>
    <m/>
    <m/>
    <m/>
    <m/>
    <m/>
    <m/>
    <m/>
    <x v="257"/>
    <m/>
    <m/>
    <m/>
    <m/>
    <m/>
    <m/>
    <m/>
    <m/>
    <m/>
  </r>
  <r>
    <x v="591"/>
    <m/>
    <m/>
    <m/>
    <m/>
    <m/>
    <m/>
    <m/>
    <m/>
    <m/>
    <m/>
    <x v="257"/>
    <m/>
    <m/>
    <m/>
    <m/>
    <m/>
    <m/>
    <m/>
    <m/>
    <m/>
  </r>
  <r>
    <x v="591"/>
    <m/>
    <m/>
    <m/>
    <m/>
    <m/>
    <m/>
    <m/>
    <m/>
    <m/>
    <m/>
    <x v="257"/>
    <m/>
    <m/>
    <m/>
    <m/>
    <m/>
    <m/>
    <m/>
    <m/>
    <m/>
  </r>
  <r>
    <x v="591"/>
    <m/>
    <m/>
    <m/>
    <m/>
    <m/>
    <m/>
    <m/>
    <m/>
    <m/>
    <m/>
    <x v="257"/>
    <m/>
    <m/>
    <m/>
    <m/>
    <m/>
    <m/>
    <m/>
    <m/>
    <m/>
  </r>
  <r>
    <x v="591"/>
    <m/>
    <m/>
    <m/>
    <m/>
    <m/>
    <m/>
    <m/>
    <m/>
    <m/>
    <m/>
    <x v="257"/>
    <m/>
    <m/>
    <m/>
    <m/>
    <m/>
    <m/>
    <m/>
    <m/>
    <m/>
  </r>
  <r>
    <x v="591"/>
    <m/>
    <m/>
    <m/>
    <m/>
    <m/>
    <m/>
    <m/>
    <m/>
    <m/>
    <m/>
    <x v="257"/>
    <m/>
    <m/>
    <m/>
    <m/>
    <m/>
    <m/>
    <m/>
    <m/>
    <m/>
  </r>
  <r>
    <x v="591"/>
    <m/>
    <m/>
    <m/>
    <m/>
    <m/>
    <m/>
    <m/>
    <m/>
    <m/>
    <m/>
    <x v="257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4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F6:F15" firstHeaderRow="1" firstDataRow="1" firstDataCol="1" rowPageCount="1" colPageCount="1"/>
  <pivotFields count="21">
    <pivotField axis="axisRow" showAll="0">
      <items count="59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460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436"/>
        <item x="30"/>
        <item x="31"/>
        <item x="32"/>
        <item x="33"/>
        <item x="34"/>
        <item x="35"/>
        <item x="36"/>
        <item x="37"/>
        <item x="446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464"/>
        <item x="102"/>
        <item x="103"/>
        <item x="447"/>
        <item x="104"/>
        <item x="105"/>
        <item x="106"/>
        <item x="107"/>
        <item x="469"/>
        <item x="108"/>
        <item x="109"/>
        <item x="110"/>
        <item x="458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440"/>
        <item x="126"/>
        <item x="127"/>
        <item x="128"/>
        <item x="448"/>
        <item x="129"/>
        <item x="130"/>
        <item x="437"/>
        <item x="131"/>
        <item x="467"/>
        <item x="132"/>
        <item x="468"/>
        <item x="471"/>
        <item x="465"/>
        <item x="133"/>
        <item x="449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450"/>
        <item x="145"/>
        <item x="146"/>
        <item x="147"/>
        <item x="148"/>
        <item x="457"/>
        <item x="149"/>
        <item x="150"/>
        <item x="151"/>
        <item x="152"/>
        <item x="153"/>
        <item x="154"/>
        <item x="461"/>
        <item x="451"/>
        <item x="452"/>
        <item x="155"/>
        <item x="156"/>
        <item x="455"/>
        <item x="456"/>
        <item x="157"/>
        <item x="158"/>
        <item x="441"/>
        <item x="159"/>
        <item x="445"/>
        <item x="453"/>
        <item x="160"/>
        <item x="161"/>
        <item x="162"/>
        <item x="439"/>
        <item x="163"/>
        <item x="164"/>
        <item x="165"/>
        <item x="166"/>
        <item x="167"/>
        <item x="442"/>
        <item x="444"/>
        <item x="168"/>
        <item x="169"/>
        <item x="170"/>
        <item x="171"/>
        <item x="443"/>
        <item x="473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438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466"/>
        <item x="470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46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454"/>
        <item x="352"/>
        <item x="353"/>
        <item x="354"/>
        <item x="355"/>
        <item x="356"/>
        <item x="357"/>
        <item x="358"/>
        <item x="462"/>
        <item x="359"/>
        <item x="360"/>
        <item x="472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20"/>
        <item x="421"/>
        <item x="422"/>
        <item x="423"/>
        <item x="424"/>
        <item x="425"/>
        <item x="426"/>
        <item x="427"/>
        <item x="428"/>
        <item x="429"/>
        <item x="459"/>
        <item x="430"/>
        <item x="431"/>
        <item x="432"/>
        <item x="433"/>
        <item x="434"/>
        <item x="435"/>
        <item x="591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402"/>
        <item x="419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263">
        <item x="100"/>
        <item x="102"/>
        <item x="105"/>
        <item x="125"/>
        <item x="101"/>
        <item x="115"/>
        <item x="103"/>
        <item x="117"/>
        <item x="116"/>
        <item x="104"/>
        <item x="118"/>
        <item x="99"/>
        <item x="127"/>
        <item x="128"/>
        <item x="129"/>
        <item x="130"/>
        <item x="83"/>
        <item x="131"/>
        <item x="135"/>
        <item x="126"/>
        <item x="132"/>
        <item x="142"/>
        <item x="91"/>
        <item x="89"/>
        <item x="94"/>
        <item x="93"/>
        <item x="166"/>
        <item x="81"/>
        <item x="165"/>
        <item x="106"/>
        <item x="111"/>
        <item x="108"/>
        <item x="87"/>
        <item x="109"/>
        <item x="113"/>
        <item x="146"/>
        <item x="178"/>
        <item x="121"/>
        <item x="122"/>
        <item x="123"/>
        <item x="107"/>
        <item x="119"/>
        <item x="168"/>
        <item x="164"/>
        <item x="169"/>
        <item x="144"/>
        <item x="136"/>
        <item x="138"/>
        <item x="141"/>
        <item x="147"/>
        <item x="140"/>
        <item x="153"/>
        <item x="159"/>
        <item x="171"/>
        <item x="177"/>
        <item x="124"/>
        <item x="15"/>
        <item x="154"/>
        <item x="172"/>
        <item x="150"/>
        <item x="151"/>
        <item x="193"/>
        <item x="167"/>
        <item x="98"/>
        <item x="29"/>
        <item x="155"/>
        <item x="176"/>
        <item x="162"/>
        <item x="175"/>
        <item x="158"/>
        <item x="184"/>
        <item x="114"/>
        <item x="152"/>
        <item x="180"/>
        <item x="185"/>
        <item x="188"/>
        <item x="187"/>
        <item x="203"/>
        <item x="190"/>
        <item x="183"/>
        <item x="192"/>
        <item x="174"/>
        <item x="186"/>
        <item x="194"/>
        <item x="181"/>
        <item x="196"/>
        <item x="219"/>
        <item x="189"/>
        <item x="2"/>
        <item x="202"/>
        <item x="3"/>
        <item x="173"/>
        <item x="61"/>
        <item x="197"/>
        <item x="198"/>
        <item x="199"/>
        <item x="28"/>
        <item x="200"/>
        <item x="10"/>
        <item x="7"/>
        <item x="182"/>
        <item x="5"/>
        <item x="156"/>
        <item x="201"/>
        <item x="23"/>
        <item x="31"/>
        <item x="27"/>
        <item x="214"/>
        <item x="12"/>
        <item x="54"/>
        <item x="38"/>
        <item x="14"/>
        <item x="18"/>
        <item x="8"/>
        <item x="33"/>
        <item x="11"/>
        <item x="13"/>
        <item x="16"/>
        <item x="191"/>
        <item x="36"/>
        <item x="21"/>
        <item x="26"/>
        <item x="32"/>
        <item x="24"/>
        <item x="37"/>
        <item x="41"/>
        <item x="40"/>
        <item x="47"/>
        <item x="42"/>
        <item x="50"/>
        <item x="9"/>
        <item x="20"/>
        <item x="46"/>
        <item x="44"/>
        <item x="218"/>
        <item x="52"/>
        <item x="6"/>
        <item x="43"/>
        <item m="1" x="258"/>
        <item x="30"/>
        <item x="35"/>
        <item x="55"/>
        <item x="64"/>
        <item x="53"/>
        <item x="213"/>
        <item x="25"/>
        <item x="49"/>
        <item x="65"/>
        <item x="17"/>
        <item x="57"/>
        <item x="69"/>
        <item x="60"/>
        <item x="58"/>
        <item x="48"/>
        <item x="4"/>
        <item x="217"/>
        <item x="216"/>
        <item x="71"/>
        <item x="66"/>
        <item x="67"/>
        <item x="56"/>
        <item x="208"/>
        <item x="212"/>
        <item x="77"/>
        <item x="75"/>
        <item x="62"/>
        <item x="76"/>
        <item x="68"/>
        <item x="59"/>
        <item x="215"/>
        <item x="74"/>
        <item x="39"/>
        <item x="72"/>
        <item x="207"/>
        <item x="73"/>
        <item x="51"/>
        <item x="204"/>
        <item x="78"/>
        <item x="206"/>
        <item x="211"/>
        <item x="210"/>
        <item x="80"/>
        <item x="205"/>
        <item x="70"/>
        <item x="63"/>
        <item x="79"/>
        <item x="34"/>
        <item x="110"/>
        <item x="157"/>
        <item x="133"/>
        <item x="137"/>
        <item x="148"/>
        <item x="143"/>
        <item x="22"/>
        <item x="139"/>
        <item x="90"/>
        <item x="88"/>
        <item x="97"/>
        <item x="95"/>
        <item x="84"/>
        <item x="170"/>
        <item x="85"/>
        <item x="112"/>
        <item x="96"/>
        <item x="120"/>
        <item x="92"/>
        <item x="82"/>
        <item x="145"/>
        <item x="86"/>
        <item x="160"/>
        <item x="161"/>
        <item x="179"/>
        <item x="195"/>
        <item x="19"/>
        <item x="1"/>
        <item x="45"/>
        <item x="209"/>
        <item x="134"/>
        <item x="149"/>
        <item x="163"/>
        <item x="0"/>
        <item x="257"/>
        <item x="221"/>
        <item x="222"/>
        <item x="220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m="1" x="259"/>
        <item m="1" x="261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m="1" x="260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9">
    <i>
      <x v="399"/>
    </i>
    <i>
      <x v="423"/>
    </i>
    <i>
      <x v="425"/>
    </i>
    <i>
      <x v="426"/>
    </i>
    <i>
      <x v="431"/>
    </i>
    <i>
      <x v="433"/>
    </i>
    <i>
      <x v="435"/>
    </i>
    <i>
      <x v="497"/>
    </i>
    <i t="grand">
      <x/>
    </i>
  </rowItems>
  <colItems count="1">
    <i/>
  </colItems>
  <pageFields count="1">
    <pageField fld="11" item="61" hier="-1"/>
  </pageFields>
  <formats count="8">
    <format dxfId="40">
      <pivotArea dataOnly="0" labelOnly="1" fieldPosition="0">
        <references count="1">
          <reference field="0" count="0"/>
        </references>
      </pivotArea>
    </format>
    <format dxfId="39">
      <pivotArea dataOnly="0" labelOnly="1" fieldPosition="0">
        <references count="1">
          <reference field="0" count="2">
            <x v="71"/>
            <x v="191"/>
          </reference>
        </references>
      </pivotArea>
    </format>
    <format dxfId="38">
      <pivotArea type="all" dataOnly="0" outline="0" fieldPosition="0"/>
    </format>
    <format dxfId="37">
      <pivotArea field="11" type="button" dataOnly="0" labelOnly="1" outline="0" axis="axisPage" fieldPosition="0"/>
    </format>
    <format dxfId="36">
      <pivotArea field="0" type="button" dataOnly="0" labelOnly="1" outline="0" axis="axisRow" fieldPosition="0"/>
    </format>
    <format dxfId="35">
      <pivotArea dataOnly="0" labelOnly="1" fieldPosition="0">
        <references count="1">
          <reference field="0" count="2">
            <x v="71"/>
            <x v="191"/>
          </reference>
        </references>
      </pivotArea>
    </format>
    <format dxfId="34">
      <pivotArea dataOnly="0" labelOnly="1" grandRow="1" outline="0" fieldPosition="0"/>
    </format>
    <format dxfId="33">
      <pivotArea dataOnly="0" labelOnly="1" fieldPosition="0">
        <references count="1">
          <reference field="0" count="12">
            <x v="10"/>
            <x v="19"/>
            <x v="36"/>
            <x v="80"/>
            <x v="417"/>
            <x v="421"/>
            <x v="438"/>
            <x v="440"/>
            <x v="442"/>
            <x v="450"/>
            <x v="454"/>
            <x v="471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ela przestawna4" cacheId="2" applyNumberFormats="0" applyBorderFormats="0" applyFontFormats="0" applyPatternFormats="0" applyAlignmentFormats="0" applyWidthHeightFormats="1" dataCaption="Wartości" updatedVersion="5" minRefreshableVersion="3" useAutoFormatting="1" pageOverThenDown="1" itemPrintTitles="1" createdVersion="5" indent="0" outline="1" outlineData="1" multipleFieldFilters="0">
  <location ref="A3:A854" firstHeaderRow="1" firstDataRow="1" firstDataCol="1"/>
  <pivotFields count="21">
    <pivotField axis="axisRow" showAll="0">
      <items count="595">
        <item x="0"/>
        <item x="1"/>
        <item x="10"/>
        <item x="12"/>
        <item x="13"/>
        <item x="14"/>
        <item x="15"/>
        <item x="17"/>
        <item x="18"/>
        <item x="20"/>
        <item x="23"/>
        <item x="24"/>
        <item x="25"/>
        <item x="39"/>
        <item x="44"/>
        <item x="45"/>
        <item x="50"/>
        <item x="51"/>
        <item x="52"/>
        <item x="53"/>
        <item x="72"/>
        <item x="73"/>
        <item x="74"/>
        <item x="75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6"/>
        <item x="220"/>
        <item x="221"/>
        <item x="222"/>
        <item x="223"/>
        <item x="224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6"/>
        <item x="248"/>
        <item x="252"/>
        <item x="253"/>
        <item x="254"/>
        <item x="255"/>
        <item x="256"/>
        <item x="257"/>
        <item x="258"/>
        <item x="259"/>
        <item x="260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91"/>
        <item x="294"/>
        <item x="298"/>
        <item x="299"/>
        <item x="300"/>
        <item x="301"/>
        <item x="302"/>
        <item x="304"/>
        <item x="308"/>
        <item x="310"/>
        <item x="311"/>
        <item x="312"/>
        <item x="313"/>
        <item x="316"/>
        <item x="317"/>
        <item x="318"/>
        <item x="320"/>
        <item x="321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1"/>
        <item x="342"/>
        <item x="343"/>
        <item x="344"/>
        <item x="345"/>
        <item x="350"/>
        <item x="354"/>
        <item x="355"/>
        <item x="357"/>
        <item x="359"/>
        <item x="360"/>
        <item x="361"/>
        <item x="362"/>
        <item x="363"/>
        <item x="364"/>
        <item x="365"/>
        <item x="366"/>
        <item x="367"/>
        <item x="368"/>
        <item x="374"/>
        <item x="379"/>
        <item x="380"/>
        <item x="381"/>
        <item x="382"/>
        <item x="384"/>
        <item x="385"/>
        <item x="386"/>
        <item x="387"/>
        <item x="388"/>
        <item x="389"/>
        <item x="390"/>
        <item x="392"/>
        <item x="393"/>
        <item x="394"/>
        <item x="395"/>
        <item x="397"/>
        <item x="398"/>
        <item x="399"/>
        <item x="400"/>
        <item x="401"/>
        <item x="404"/>
        <item x="406"/>
        <item x="407"/>
        <item x="411"/>
        <item x="414"/>
        <item x="415"/>
        <item x="417"/>
        <item x="418"/>
        <item x="426"/>
        <item x="429"/>
        <item x="432"/>
        <item x="420"/>
        <item x="358"/>
        <item x="396"/>
        <item x="70"/>
        <item x="54"/>
        <item x="405"/>
        <item x="431"/>
        <item x="11"/>
        <item x="58"/>
        <item x="101"/>
        <item x="68"/>
        <item x="315"/>
        <item x="19"/>
        <item x="69"/>
        <item x="383"/>
        <item x="408"/>
        <item x="309"/>
        <item x="109"/>
        <item x="55"/>
        <item x="56"/>
        <item x="86"/>
        <item x="95"/>
        <item x="112"/>
        <item x="122"/>
        <item x="435"/>
        <item x="119"/>
        <item x="111"/>
        <item x="147"/>
        <item x="123"/>
        <item x="94"/>
        <item x="126"/>
        <item x="35"/>
        <item x="140"/>
        <item x="116"/>
        <item x="118"/>
        <item x="21"/>
        <item x="104"/>
        <item x="63"/>
        <item x="62"/>
        <item x="98"/>
        <item x="322"/>
        <item x="139"/>
        <item x="113"/>
        <item x="121"/>
        <item x="125"/>
        <item x="163"/>
        <item x="148"/>
        <item x="144"/>
        <item x="79"/>
        <item x="57"/>
        <item x="96"/>
        <item x="29"/>
        <item x="30"/>
        <item x="31"/>
        <item x="49"/>
        <item x="61"/>
        <item x="89"/>
        <item x="91"/>
        <item x="92"/>
        <item x="103"/>
        <item x="107"/>
        <item x="120"/>
        <item x="127"/>
        <item x="129"/>
        <item x="141"/>
        <item x="143"/>
        <item x="591"/>
        <item x="65"/>
        <item x="66"/>
        <item x="71"/>
        <item x="82"/>
        <item x="90"/>
        <item x="93"/>
        <item x="100"/>
        <item x="110"/>
        <item x="117"/>
        <item x="132"/>
        <item x="134"/>
        <item x="135"/>
        <item x="146"/>
        <item x="164"/>
        <item x="424"/>
        <item x="67"/>
        <item x="114"/>
        <item x="115"/>
        <item x="81"/>
        <item x="85"/>
        <item x="152"/>
        <item x="416"/>
        <item x="137"/>
        <item x="151"/>
        <item x="106"/>
        <item x="428"/>
        <item x="142"/>
        <item x="131"/>
        <item x="157"/>
        <item x="149"/>
        <item x="3"/>
        <item x="28"/>
        <item x="77"/>
        <item x="353"/>
        <item x="391"/>
        <item x="46"/>
        <item x="427"/>
        <item x="32"/>
        <item x="33"/>
        <item x="102"/>
        <item x="80"/>
        <item x="105"/>
        <item x="421"/>
        <item x="425"/>
        <item x="84"/>
        <item x="156"/>
        <item x="423"/>
        <item x="136"/>
        <item x="158"/>
        <item x="138"/>
        <item x="155"/>
        <item x="154"/>
        <item x="160"/>
        <item x="422"/>
        <item x="78"/>
        <item x="403"/>
        <item x="36"/>
        <item m="1" x="592"/>
        <item x="97"/>
        <item x="26"/>
        <item x="34"/>
        <item x="76"/>
        <item x="43"/>
        <item x="128"/>
        <item x="145"/>
        <item x="130"/>
        <item x="124"/>
        <item x="161"/>
        <item x="159"/>
        <item x="162"/>
        <item x="99"/>
        <item x="60"/>
        <item x="87"/>
        <item x="64"/>
        <item x="47"/>
        <item x="48"/>
        <item x="83"/>
        <item x="133"/>
        <item x="88"/>
        <item x="430"/>
        <item x="165"/>
        <item x="356"/>
        <item x="37"/>
        <item x="167"/>
        <item x="172"/>
        <item x="171"/>
        <item x="166"/>
        <item x="27"/>
        <item x="153"/>
        <item x="169"/>
        <item x="168"/>
        <item x="170"/>
        <item x="150"/>
        <item x="319"/>
        <item x="289"/>
        <item x="2"/>
        <item x="4"/>
        <item x="5"/>
        <item x="6"/>
        <item x="7"/>
        <item x="8"/>
        <item x="9"/>
        <item x="16"/>
        <item x="22"/>
        <item x="38"/>
        <item x="40"/>
        <item x="41"/>
        <item x="42"/>
        <item x="59"/>
        <item x="108"/>
        <item x="212"/>
        <item x="213"/>
        <item x="214"/>
        <item x="215"/>
        <item x="217"/>
        <item x="218"/>
        <item x="219"/>
        <item x="225"/>
        <item x="226"/>
        <item x="227"/>
        <item x="228"/>
        <item x="229"/>
        <item x="230"/>
        <item x="231"/>
        <item x="232"/>
        <item x="245"/>
        <item x="247"/>
        <item x="249"/>
        <item x="250"/>
        <item x="251"/>
        <item x="261"/>
        <item x="262"/>
        <item x="263"/>
        <item x="264"/>
        <item x="265"/>
        <item x="266"/>
        <item x="267"/>
        <item x="268"/>
        <item x="290"/>
        <item x="292"/>
        <item x="293"/>
        <item x="295"/>
        <item x="296"/>
        <item x="297"/>
        <item x="303"/>
        <item x="305"/>
        <item x="306"/>
        <item x="307"/>
        <item x="314"/>
        <item x="340"/>
        <item x="346"/>
        <item x="347"/>
        <item x="348"/>
        <item x="349"/>
        <item x="351"/>
        <item x="352"/>
        <item x="369"/>
        <item x="370"/>
        <item x="371"/>
        <item x="372"/>
        <item x="373"/>
        <item x="375"/>
        <item x="376"/>
        <item x="377"/>
        <item x="378"/>
        <item x="409"/>
        <item x="410"/>
        <item x="412"/>
        <item x="413"/>
        <item x="433"/>
        <item x="434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402"/>
        <item x="419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m="1" x="593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t="default"/>
      </items>
    </pivotField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 defaultSubtotal="0"/>
    <pivotField showAll="0" defaultSubtotal="0"/>
    <pivotField axis="axisRow" showAll="0">
      <items count="272">
        <item x="100"/>
        <item x="102"/>
        <item x="105"/>
        <item x="125"/>
        <item x="101"/>
        <item x="115"/>
        <item x="103"/>
        <item x="117"/>
        <item x="116"/>
        <item x="104"/>
        <item x="118"/>
        <item x="99"/>
        <item x="127"/>
        <item x="128"/>
        <item x="129"/>
        <item x="130"/>
        <item x="83"/>
        <item x="131"/>
        <item x="135"/>
        <item x="126"/>
        <item x="132"/>
        <item x="142"/>
        <item x="91"/>
        <item x="89"/>
        <item x="94"/>
        <item x="93"/>
        <item x="166"/>
        <item x="81"/>
        <item x="165"/>
        <item x="87"/>
        <item x="146"/>
        <item x="178"/>
        <item x="168"/>
        <item x="164"/>
        <item x="169"/>
        <item x="144"/>
        <item x="147"/>
        <item x="159"/>
        <item x="171"/>
        <item x="177"/>
        <item x="15"/>
        <item x="193"/>
        <item x="167"/>
        <item x="98"/>
        <item x="29"/>
        <item x="162"/>
        <item x="175"/>
        <item x="158"/>
        <item x="184"/>
        <item x="114"/>
        <item x="180"/>
        <item x="185"/>
        <item x="190"/>
        <item x="183"/>
        <item x="174"/>
        <item x="194"/>
        <item x="181"/>
        <item x="3"/>
        <item x="61"/>
        <item x="228"/>
        <item x="10"/>
        <item x="182"/>
        <item x="156"/>
        <item x="12"/>
        <item x="54"/>
        <item x="233"/>
        <item x="14"/>
        <item x="18"/>
        <item x="8"/>
        <item x="11"/>
        <item x="191"/>
        <item x="32"/>
        <item x="9"/>
        <item x="20"/>
        <item x="52"/>
        <item x="30"/>
        <item x="35"/>
        <item x="25"/>
        <item x="17"/>
        <item x="57"/>
        <item x="110"/>
        <item x="157"/>
        <item x="133"/>
        <item x="137"/>
        <item x="148"/>
        <item x="143"/>
        <item x="139"/>
        <item x="90"/>
        <item x="88"/>
        <item x="97"/>
        <item x="95"/>
        <item x="84"/>
        <item x="170"/>
        <item x="85"/>
        <item x="96"/>
        <item x="92"/>
        <item x="82"/>
        <item x="145"/>
        <item x="86"/>
        <item x="160"/>
        <item x="161"/>
        <item x="134"/>
        <item x="149"/>
        <item x="163"/>
        <item x="0"/>
        <item x="60"/>
        <item m="1" x="264"/>
        <item x="67"/>
        <item x="39"/>
        <item x="173"/>
        <item x="44"/>
        <item x="49"/>
        <item m="1" x="263"/>
        <item x="56"/>
        <item x="59"/>
        <item x="55"/>
        <item x="51"/>
        <item x="48"/>
        <item x="62"/>
        <item x="257"/>
        <item x="1"/>
        <item x="179"/>
        <item x="53"/>
        <item x="75"/>
        <item x="40"/>
        <item x="23"/>
        <item x="50"/>
        <item x="19"/>
        <item x="33"/>
        <item x="37"/>
        <item x="42"/>
        <item x="46"/>
        <item x="212"/>
        <item x="65"/>
        <item x="38"/>
        <item m="1" x="258"/>
        <item x="47"/>
        <item x="76"/>
        <item x="58"/>
        <item x="43"/>
        <item m="1" x="259"/>
        <item x="66"/>
        <item x="71"/>
        <item x="31"/>
        <item x="21"/>
        <item x="41"/>
        <item x="199"/>
        <item x="70"/>
        <item x="69"/>
        <item x="28"/>
        <item x="64"/>
        <item x="73"/>
        <item x="72"/>
        <item x="74"/>
        <item m="1" x="266"/>
        <item x="200"/>
        <item x="192"/>
        <item x="78"/>
        <item x="80"/>
        <item x="77"/>
        <item x="68"/>
        <item m="1" x="268"/>
        <item x="63"/>
        <item x="79"/>
        <item x="45"/>
        <item x="2"/>
        <item x="4"/>
        <item x="5"/>
        <item x="6"/>
        <item x="7"/>
        <item x="13"/>
        <item x="16"/>
        <item x="22"/>
        <item x="24"/>
        <item x="26"/>
        <item x="27"/>
        <item x="36"/>
        <item x="106"/>
        <item x="107"/>
        <item x="108"/>
        <item x="109"/>
        <item x="111"/>
        <item x="112"/>
        <item x="113"/>
        <item x="119"/>
        <item x="120"/>
        <item x="121"/>
        <item x="122"/>
        <item x="123"/>
        <item x="124"/>
        <item x="136"/>
        <item x="138"/>
        <item x="140"/>
        <item x="141"/>
        <item x="150"/>
        <item x="151"/>
        <item x="152"/>
        <item x="153"/>
        <item x="154"/>
        <item x="155"/>
        <item x="172"/>
        <item x="176"/>
        <item x="186"/>
        <item x="187"/>
        <item x="188"/>
        <item x="189"/>
        <item x="195"/>
        <item x="196"/>
        <item x="197"/>
        <item x="198"/>
        <item x="201"/>
        <item x="202"/>
        <item m="1" x="269"/>
        <item x="203"/>
        <item x="204"/>
        <item x="205"/>
        <item x="206"/>
        <item x="207"/>
        <item m="1" x="262"/>
        <item x="208"/>
        <item m="1" x="270"/>
        <item x="210"/>
        <item x="211"/>
        <item m="1" x="261"/>
        <item x="209"/>
        <item x="213"/>
        <item x="214"/>
        <item x="215"/>
        <item x="34"/>
        <item x="216"/>
        <item x="217"/>
        <item x="218"/>
        <item x="219"/>
        <item x="221"/>
        <item x="222"/>
        <item x="220"/>
        <item x="223"/>
        <item x="224"/>
        <item x="225"/>
        <item x="226"/>
        <item x="227"/>
        <item x="229"/>
        <item x="230"/>
        <item x="231"/>
        <item x="232"/>
        <item m="1" x="267"/>
        <item x="234"/>
        <item x="235"/>
        <item x="236"/>
        <item x="237"/>
        <item m="1" x="265"/>
        <item x="238"/>
        <item x="239"/>
        <item x="240"/>
        <item x="241"/>
        <item x="242"/>
        <item x="243"/>
        <item x="244"/>
        <item m="1" x="260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t="default"/>
      </items>
    </pivotField>
    <pivotField showAll="0" defaultSubtota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2">
    <field x="11"/>
    <field x="0"/>
  </rowFields>
  <rowItems count="851">
    <i>
      <x/>
    </i>
    <i r="1">
      <x v="56"/>
    </i>
    <i>
      <x v="1"/>
    </i>
    <i r="1">
      <x v="58"/>
    </i>
    <i>
      <x v="2"/>
    </i>
    <i r="1">
      <x v="62"/>
    </i>
    <i r="1">
      <x v="73"/>
    </i>
    <i>
      <x v="3"/>
    </i>
    <i r="1">
      <x v="69"/>
    </i>
    <i>
      <x v="4"/>
    </i>
    <i r="1">
      <x v="57"/>
    </i>
    <i>
      <x v="5"/>
    </i>
    <i r="1">
      <x v="65"/>
    </i>
    <i>
      <x v="6"/>
    </i>
    <i r="1">
      <x v="59"/>
    </i>
    <i>
      <x v="7"/>
    </i>
    <i r="1">
      <x v="67"/>
    </i>
    <i>
      <x v="8"/>
    </i>
    <i r="1">
      <x v="66"/>
    </i>
    <i>
      <x v="9"/>
    </i>
    <i r="1">
      <x v="60"/>
    </i>
    <i>
      <x v="10"/>
    </i>
    <i r="1">
      <x v="68"/>
    </i>
    <i>
      <x v="11"/>
    </i>
    <i r="1">
      <x v="55"/>
    </i>
    <i>
      <x v="12"/>
    </i>
    <i r="1">
      <x v="71"/>
    </i>
    <i>
      <x v="13"/>
    </i>
    <i r="1">
      <x v="72"/>
    </i>
    <i>
      <x v="14"/>
    </i>
    <i r="1">
      <x v="74"/>
    </i>
    <i>
      <x v="15"/>
    </i>
    <i r="1">
      <x v="75"/>
    </i>
    <i>
      <x v="16"/>
    </i>
    <i r="1">
      <x v="30"/>
    </i>
    <i>
      <x v="17"/>
    </i>
    <i r="1">
      <x v="76"/>
    </i>
    <i>
      <x v="18"/>
    </i>
    <i r="1">
      <x v="80"/>
    </i>
    <i>
      <x v="19"/>
    </i>
    <i r="1">
      <x v="70"/>
    </i>
    <i>
      <x v="20"/>
    </i>
    <i r="1">
      <x v="77"/>
    </i>
    <i>
      <x v="21"/>
    </i>
    <i r="1">
      <x v="83"/>
    </i>
    <i>
      <x v="22"/>
    </i>
    <i r="1">
      <x v="43"/>
    </i>
    <i>
      <x v="23"/>
    </i>
    <i r="1">
      <x v="41"/>
    </i>
    <i>
      <x v="24"/>
    </i>
    <i r="1">
      <x v="47"/>
    </i>
    <i>
      <x v="25"/>
    </i>
    <i r="1">
      <x v="46"/>
    </i>
    <i r="1">
      <x v="103"/>
    </i>
    <i r="1">
      <x v="107"/>
    </i>
    <i r="1">
      <x v="115"/>
    </i>
    <i>
      <x v="26"/>
    </i>
    <i r="1">
      <x v="108"/>
    </i>
    <i r="1">
      <x v="109"/>
    </i>
    <i>
      <x v="27"/>
    </i>
    <i r="1">
      <x v="24"/>
    </i>
    <i r="1">
      <x v="25"/>
    </i>
    <i r="1">
      <x v="34"/>
    </i>
    <i r="1">
      <x v="48"/>
    </i>
    <i>
      <x v="28"/>
    </i>
    <i r="1">
      <x v="106"/>
    </i>
    <i r="1">
      <x v="119"/>
    </i>
    <i>
      <x v="29"/>
    </i>
    <i r="1">
      <x v="38"/>
    </i>
    <i r="1">
      <x v="40"/>
    </i>
    <i>
      <x v="30"/>
    </i>
    <i r="1">
      <x v="88"/>
    </i>
    <i r="1">
      <x v="105"/>
    </i>
    <i r="1">
      <x v="131"/>
    </i>
    <i>
      <x v="31"/>
    </i>
    <i r="1">
      <x v="129"/>
    </i>
    <i r="1">
      <x v="136"/>
    </i>
    <i>
      <x v="32"/>
    </i>
    <i r="1">
      <x v="113"/>
    </i>
    <i>
      <x v="33"/>
    </i>
    <i r="1">
      <x v="104"/>
    </i>
    <i>
      <x v="34"/>
    </i>
    <i r="1">
      <x v="114"/>
    </i>
    <i>
      <x v="35"/>
    </i>
    <i r="1">
      <x v="85"/>
    </i>
    <i>
      <x v="36"/>
    </i>
    <i r="1">
      <x v="89"/>
    </i>
    <i r="1">
      <x v="132"/>
    </i>
    <i>
      <x v="37"/>
    </i>
    <i r="1">
      <x v="97"/>
    </i>
    <i r="1">
      <x v="466"/>
    </i>
    <i>
      <x v="38"/>
    </i>
    <i r="1">
      <x v="118"/>
    </i>
    <i r="1">
      <x v="122"/>
    </i>
    <i>
      <x v="39"/>
    </i>
    <i r="1">
      <x v="127"/>
    </i>
    <i>
      <x v="40"/>
    </i>
    <i r="1">
      <x v="120"/>
    </i>
    <i r="1">
      <x v="125"/>
    </i>
    <i r="1">
      <x v="137"/>
    </i>
    <i r="1">
      <x v="140"/>
    </i>
    <i r="1">
      <x v="146"/>
    </i>
    <i r="1">
      <x v="158"/>
    </i>
    <i r="1">
      <x v="190"/>
    </i>
    <i r="1">
      <x v="209"/>
    </i>
    <i r="1">
      <x v="233"/>
    </i>
    <i r="1">
      <x v="299"/>
    </i>
    <i r="1">
      <x v="320"/>
    </i>
    <i r="1">
      <x v="358"/>
    </i>
    <i r="1">
      <x v="359"/>
    </i>
    <i r="1">
      <x v="463"/>
    </i>
    <i r="1">
      <x v="509"/>
    </i>
    <i r="1">
      <x v="579"/>
    </i>
    <i r="1">
      <x v="593"/>
    </i>
    <i>
      <x v="41"/>
    </i>
    <i r="1">
      <x v="159"/>
    </i>
    <i r="1">
      <x v="173"/>
    </i>
    <i r="1">
      <x v="175"/>
    </i>
    <i r="1">
      <x v="176"/>
    </i>
    <i r="1">
      <x v="180"/>
    </i>
    <i r="1">
      <x v="183"/>
    </i>
    <i r="1">
      <x v="200"/>
    </i>
    <i r="1">
      <x v="498"/>
    </i>
    <i>
      <x v="42"/>
    </i>
    <i r="1">
      <x v="110"/>
    </i>
    <i>
      <x v="43"/>
    </i>
    <i r="1">
      <x v="54"/>
    </i>
    <i r="1">
      <x v="116"/>
    </i>
    <i r="1">
      <x v="298"/>
    </i>
    <i>
      <x v="44"/>
    </i>
    <i r="1">
      <x v="14"/>
    </i>
    <i r="1">
      <x v="152"/>
    </i>
    <i r="1">
      <x v="155"/>
    </i>
    <i r="1">
      <x v="179"/>
    </i>
    <i r="1">
      <x v="462"/>
    </i>
    <i>
      <x v="45"/>
    </i>
    <i r="1">
      <x v="100"/>
    </i>
    <i r="1">
      <x v="470"/>
    </i>
    <i>
      <x v="46"/>
    </i>
    <i r="1">
      <x v="124"/>
    </i>
    <i r="1">
      <x v="126"/>
    </i>
    <i r="1">
      <x v="128"/>
    </i>
    <i r="1">
      <x v="130"/>
    </i>
    <i>
      <x v="47"/>
    </i>
    <i r="1">
      <x v="96"/>
    </i>
    <i>
      <x v="48"/>
    </i>
    <i r="1">
      <x v="144"/>
    </i>
    <i>
      <x v="49"/>
    </i>
    <i r="1">
      <x v="64"/>
    </i>
    <i>
      <x v="50"/>
    </i>
    <i r="1">
      <x v="133"/>
    </i>
    <i r="1">
      <x v="134"/>
    </i>
    <i r="1">
      <x v="497"/>
    </i>
    <i>
      <x v="51"/>
    </i>
    <i r="1">
      <x v="150"/>
    </i>
    <i>
      <x v="52"/>
    </i>
    <i r="1">
      <x v="153"/>
    </i>
    <i>
      <x v="53"/>
    </i>
    <i r="1">
      <x v="143"/>
    </i>
    <i r="1">
      <x v="157"/>
    </i>
    <i r="1">
      <x v="160"/>
    </i>
    <i>
      <x v="54"/>
    </i>
    <i r="1">
      <x v="123"/>
    </i>
    <i r="1">
      <x v="135"/>
    </i>
    <i r="1">
      <x v="142"/>
    </i>
    <i r="1">
      <x v="145"/>
    </i>
    <i r="1">
      <x v="147"/>
    </i>
    <i>
      <x v="55"/>
    </i>
    <i r="1">
      <x v="161"/>
    </i>
    <i r="1">
      <x v="163"/>
    </i>
    <i r="1">
      <x v="164"/>
    </i>
    <i r="1">
      <x v="169"/>
    </i>
    <i>
      <x v="56"/>
    </i>
    <i r="1">
      <x v="138"/>
    </i>
    <i>
      <x v="57"/>
    </i>
    <i r="1">
      <x v="165"/>
    </i>
    <i r="1">
      <x v="172"/>
    </i>
    <i r="1">
      <x v="295"/>
    </i>
    <i>
      <x v="58"/>
    </i>
    <i r="1">
      <x v="189"/>
    </i>
    <i r="1">
      <x v="213"/>
    </i>
    <i r="1">
      <x v="242"/>
    </i>
    <i>
      <x v="59"/>
    </i>
    <i r="1">
      <x v="485"/>
    </i>
    <i r="1">
      <x v="499"/>
    </i>
    <i r="1">
      <x v="500"/>
    </i>
    <i r="1">
      <x v="501"/>
    </i>
    <i r="1">
      <x v="518"/>
    </i>
    <i>
      <x v="60"/>
    </i>
    <i r="1">
      <x v="3"/>
    </i>
    <i r="1">
      <x v="286"/>
    </i>
    <i>
      <x v="61"/>
    </i>
    <i r="1">
      <x v="139"/>
    </i>
    <i r="1">
      <x v="170"/>
    </i>
    <i r="1">
      <x v="204"/>
    </i>
    <i>
      <x v="62"/>
    </i>
    <i r="1">
      <x v="92"/>
    </i>
    <i r="1">
      <x v="162"/>
    </i>
    <i>
      <x v="63"/>
    </i>
    <i r="1">
      <x v="6"/>
    </i>
    <i r="1">
      <x v="184"/>
    </i>
    <i>
      <x v="64"/>
    </i>
    <i r="1">
      <x v="289"/>
    </i>
    <i>
      <x v="65"/>
    </i>
    <i r="1">
      <x v="506"/>
    </i>
    <i>
      <x v="66"/>
    </i>
    <i r="1">
      <x v="7"/>
    </i>
    <i r="1">
      <x v="9"/>
    </i>
    <i r="1">
      <x v="174"/>
    </i>
    <i r="1">
      <x v="181"/>
    </i>
    <i r="1">
      <x v="210"/>
    </i>
    <i>
      <x v="67"/>
    </i>
    <i r="1">
      <x v="192"/>
    </i>
    <i r="1">
      <x v="196"/>
    </i>
    <i r="1">
      <x v="226"/>
    </i>
    <i r="1">
      <x v="244"/>
    </i>
    <i r="1">
      <x v="249"/>
    </i>
    <i r="1">
      <x v="251"/>
    </i>
    <i r="1">
      <x v="274"/>
    </i>
    <i r="1">
      <x v="324"/>
    </i>
    <i r="1">
      <x v="352"/>
    </i>
    <i r="1">
      <x v="467"/>
    </i>
    <i r="1">
      <x v="477"/>
    </i>
    <i r="1">
      <x v="524"/>
    </i>
    <i>
      <x v="68"/>
    </i>
    <i r="1">
      <x v="2"/>
    </i>
    <i r="1">
      <x v="8"/>
    </i>
    <i r="1">
      <x v="168"/>
    </i>
    <i r="1">
      <x v="171"/>
    </i>
    <i r="1">
      <x v="186"/>
    </i>
    <i r="1">
      <x v="187"/>
    </i>
    <i r="1">
      <x v="188"/>
    </i>
    <i r="1">
      <x v="191"/>
    </i>
    <i r="1">
      <x v="194"/>
    </i>
    <i r="1">
      <x v="222"/>
    </i>
    <i r="1">
      <x v="297"/>
    </i>
    <i r="1">
      <x v="325"/>
    </i>
    <i r="1">
      <x v="525"/>
    </i>
    <i r="1">
      <x v="526"/>
    </i>
    <i>
      <x v="69"/>
    </i>
    <i r="1">
      <x v="4"/>
    </i>
    <i r="1">
      <x v="17"/>
    </i>
    <i r="1">
      <x v="20"/>
    </i>
    <i r="1">
      <x v="177"/>
    </i>
    <i r="1">
      <x v="182"/>
    </i>
    <i>
      <x v="70"/>
    </i>
    <i r="1">
      <x v="154"/>
    </i>
    <i r="1">
      <x v="156"/>
    </i>
    <i>
      <x v="71"/>
    </i>
    <i r="1">
      <x v="19"/>
    </i>
    <i r="1">
      <x v="21"/>
    </i>
    <i r="1">
      <x v="193"/>
    </i>
    <i r="1">
      <x v="201"/>
    </i>
    <i r="1">
      <x v="211"/>
    </i>
    <i r="1">
      <x v="216"/>
    </i>
    <i r="1">
      <x v="217"/>
    </i>
    <i r="1">
      <x v="235"/>
    </i>
    <i r="1">
      <x v="236"/>
    </i>
    <i r="1">
      <x v="283"/>
    </i>
    <i r="1">
      <x v="336"/>
    </i>
    <i r="1">
      <x v="337"/>
    </i>
    <i r="1">
      <x v="338"/>
    </i>
    <i r="1">
      <x v="339"/>
    </i>
    <i r="1">
      <x v="340"/>
    </i>
    <i r="1">
      <x v="341"/>
    </i>
    <i r="1">
      <x v="521"/>
    </i>
    <i>
      <x v="72"/>
    </i>
    <i r="1">
      <x v="11"/>
    </i>
    <i r="1">
      <x v="12"/>
    </i>
    <i r="1">
      <x v="23"/>
    </i>
    <i r="1">
      <x v="149"/>
    </i>
    <i r="1">
      <x v="166"/>
    </i>
    <i r="1">
      <x v="167"/>
    </i>
    <i r="1">
      <x v="178"/>
    </i>
    <i r="1">
      <x v="185"/>
    </i>
    <i r="1">
      <x v="205"/>
    </i>
    <i>
      <x v="73"/>
    </i>
    <i r="1">
      <x v="18"/>
    </i>
    <i r="1">
      <x v="148"/>
    </i>
    <i r="1">
      <x v="207"/>
    </i>
    <i r="1">
      <x v="212"/>
    </i>
    <i r="1">
      <x v="257"/>
    </i>
    <i r="1">
      <x v="279"/>
    </i>
    <i r="1">
      <x v="290"/>
    </i>
    <i r="1">
      <x v="301"/>
    </i>
    <i r="1">
      <x v="302"/>
    </i>
    <i r="1">
      <x v="308"/>
    </i>
    <i r="1">
      <x v="311"/>
    </i>
    <i r="1">
      <x v="480"/>
    </i>
    <i r="1">
      <x v="505"/>
    </i>
    <i r="1">
      <x v="566"/>
    </i>
    <i>
      <x v="74"/>
    </i>
    <i r="1">
      <x v="195"/>
    </i>
    <i r="1">
      <x v="234"/>
    </i>
    <i r="1">
      <x v="304"/>
    </i>
    <i r="1">
      <x v="440"/>
    </i>
    <i>
      <x v="75"/>
    </i>
    <i r="1">
      <x v="15"/>
    </i>
    <i r="1">
      <x v="151"/>
    </i>
    <i r="1">
      <x v="199"/>
    </i>
    <i r="1">
      <x v="258"/>
    </i>
    <i>
      <x v="76"/>
    </i>
    <i r="1">
      <x v="22"/>
    </i>
    <i r="1">
      <x v="206"/>
    </i>
    <i r="1">
      <x v="215"/>
    </i>
    <i r="1">
      <x v="272"/>
    </i>
    <i r="1">
      <x v="276"/>
    </i>
    <i r="1">
      <x v="476"/>
    </i>
    <i r="1">
      <x v="493"/>
    </i>
    <i r="1">
      <x v="578"/>
    </i>
    <i>
      <x v="77"/>
    </i>
    <i r="1">
      <x v="13"/>
    </i>
    <i r="1">
      <x v="221"/>
    </i>
    <i>
      <x v="78"/>
    </i>
    <i r="1">
      <x v="10"/>
    </i>
    <i r="1">
      <x v="16"/>
    </i>
    <i>
      <x v="79"/>
    </i>
    <i r="1">
      <x v="197"/>
    </i>
    <i r="1">
      <x v="240"/>
    </i>
    <i r="1">
      <x v="275"/>
    </i>
    <i r="1">
      <x v="544"/>
    </i>
    <i>
      <x v="80"/>
    </i>
    <i r="1">
      <x v="63"/>
    </i>
    <i>
      <x v="81"/>
    </i>
    <i r="1">
      <x v="94"/>
    </i>
    <i>
      <x v="82"/>
    </i>
    <i r="1">
      <x v="78"/>
    </i>
    <i>
      <x v="83"/>
    </i>
    <i r="1">
      <x v="81"/>
    </i>
    <i>
      <x v="84"/>
    </i>
    <i r="1">
      <x v="90"/>
    </i>
    <i>
      <x v="85"/>
    </i>
    <i r="1">
      <x v="84"/>
    </i>
    <i>
      <x v="86"/>
    </i>
    <i r="1">
      <x v="82"/>
    </i>
    <i>
      <x v="87"/>
    </i>
    <i r="1">
      <x v="42"/>
    </i>
    <i>
      <x v="88"/>
    </i>
    <i r="1">
      <x v="39"/>
    </i>
    <i r="1">
      <x v="45"/>
    </i>
    <i>
      <x v="89"/>
    </i>
    <i r="1">
      <x v="51"/>
    </i>
    <i r="1">
      <x v="52"/>
    </i>
    <i>
      <x v="90"/>
    </i>
    <i r="1">
      <x v="49"/>
    </i>
    <i>
      <x v="91"/>
    </i>
    <i r="1">
      <x v="31"/>
    </i>
    <i r="1">
      <x v="53"/>
    </i>
    <i>
      <x v="92"/>
    </i>
    <i r="1">
      <x v="117"/>
    </i>
    <i>
      <x v="93"/>
    </i>
    <i r="1">
      <x v="32"/>
    </i>
    <i r="1">
      <x v="33"/>
    </i>
    <i>
      <x v="94"/>
    </i>
    <i r="1">
      <x v="50"/>
    </i>
    <i r="1">
      <x v="61"/>
    </i>
    <i r="1">
      <x v="93"/>
    </i>
    <i r="1">
      <x v="111"/>
    </i>
    <i r="1">
      <x v="121"/>
    </i>
    <i>
      <x v="95"/>
    </i>
    <i r="1">
      <x v="44"/>
    </i>
    <i r="1">
      <x v="112"/>
    </i>
    <i>
      <x v="96"/>
    </i>
    <i r="1">
      <x v="26"/>
    </i>
    <i r="1">
      <x v="27"/>
    </i>
    <i r="1">
      <x v="28"/>
    </i>
    <i r="1">
      <x v="29"/>
    </i>
    <i r="1">
      <x v="37"/>
    </i>
    <i>
      <x v="97"/>
    </i>
    <i r="1">
      <x v="86"/>
    </i>
    <i>
      <x v="98"/>
    </i>
    <i r="1">
      <x v="35"/>
    </i>
    <i r="1">
      <x v="36"/>
    </i>
    <i r="1">
      <x v="87"/>
    </i>
    <i>
      <x v="99"/>
    </i>
    <i r="1">
      <x v="98"/>
    </i>
    <i>
      <x v="100"/>
    </i>
    <i r="1">
      <x v="99"/>
    </i>
    <i>
      <x v="101"/>
    </i>
    <i r="1">
      <x v="79"/>
    </i>
    <i>
      <x v="102"/>
    </i>
    <i r="1">
      <x v="91"/>
    </i>
    <i r="1">
      <x v="95"/>
    </i>
    <i>
      <x v="103"/>
    </i>
    <i r="1">
      <x v="101"/>
    </i>
    <i r="1">
      <x v="102"/>
    </i>
    <i>
      <x v="104"/>
    </i>
    <i r="1">
      <x/>
    </i>
    <i r="1">
      <x v="5"/>
    </i>
    <i r="1">
      <x v="141"/>
    </i>
    <i>
      <x v="105"/>
    </i>
    <i r="1">
      <x v="198"/>
    </i>
    <i r="1">
      <x v="331"/>
    </i>
    <i>
      <x v="107"/>
    </i>
    <i r="1">
      <x v="203"/>
    </i>
    <i r="1">
      <x v="239"/>
    </i>
    <i r="1">
      <x v="342"/>
    </i>
    <i>
      <x v="108"/>
    </i>
    <i r="1">
      <x v="208"/>
    </i>
    <i r="1">
      <x v="345"/>
    </i>
    <i>
      <x v="109"/>
    </i>
    <i r="1">
      <x v="214"/>
    </i>
    <i>
      <x v="110"/>
    </i>
    <i r="1">
      <x v="218"/>
    </i>
    <i>
      <x v="111"/>
    </i>
    <i r="1">
      <x v="219"/>
    </i>
    <i r="1">
      <x v="259"/>
    </i>
    <i r="1">
      <x v="291"/>
    </i>
    <i r="1">
      <x v="484"/>
    </i>
    <i>
      <x v="113"/>
    </i>
    <i r="1">
      <x v="220"/>
    </i>
    <i>
      <x v="114"/>
    </i>
    <i r="1">
      <x v="223"/>
    </i>
    <i r="1">
      <x v="230"/>
    </i>
    <i r="1">
      <x v="232"/>
    </i>
    <i r="1">
      <x v="313"/>
    </i>
    <i r="1">
      <x v="441"/>
    </i>
    <i r="1">
      <x v="496"/>
    </i>
    <i>
      <x v="115"/>
    </i>
    <i r="1">
      <x v="224"/>
    </i>
    <i r="1">
      <x v="312"/>
    </i>
    <i r="1">
      <x v="314"/>
    </i>
    <i>
      <x v="116"/>
    </i>
    <i r="1">
      <x v="225"/>
    </i>
    <i r="1">
      <x v="237"/>
    </i>
    <i r="1">
      <x v="317"/>
    </i>
    <i>
      <x v="117"/>
    </i>
    <i r="1">
      <x v="227"/>
    </i>
    <i r="1">
      <x v="231"/>
    </i>
    <i r="1">
      <x v="273"/>
    </i>
    <i r="1">
      <x v="277"/>
    </i>
    <i r="1">
      <x v="516"/>
    </i>
    <i r="1">
      <x v="519"/>
    </i>
    <i r="1">
      <x v="549"/>
    </i>
    <i>
      <x v="118"/>
    </i>
    <i r="1">
      <x v="228"/>
    </i>
    <i r="1">
      <x v="504"/>
    </i>
    <i>
      <x v="119"/>
    </i>
    <i r="1">
      <x v="264"/>
    </i>
    <i>
      <x v="120"/>
    </i>
    <i r="1">
      <x v="1"/>
    </i>
    <i>
      <x v="121"/>
    </i>
    <i r="1">
      <x v="238"/>
    </i>
    <i r="1">
      <x v="454"/>
    </i>
    <i>
      <x v="122"/>
    </i>
    <i r="1">
      <x v="241"/>
    </i>
    <i r="1">
      <x v="245"/>
    </i>
    <i r="1">
      <x v="262"/>
    </i>
    <i r="1">
      <x v="306"/>
    </i>
    <i r="1">
      <x v="529"/>
    </i>
    <i r="1">
      <x v="533"/>
    </i>
    <i>
      <x v="123"/>
    </i>
    <i r="1">
      <x v="243"/>
    </i>
    <i>
      <x v="124"/>
    </i>
    <i r="1">
      <x v="246"/>
    </i>
    <i r="1">
      <x v="319"/>
    </i>
    <i r="1">
      <x v="335"/>
    </i>
    <i>
      <x v="125"/>
    </i>
    <i r="1">
      <x v="247"/>
    </i>
    <i r="1">
      <x v="280"/>
    </i>
    <i r="1">
      <x v="326"/>
    </i>
    <i r="1">
      <x v="347"/>
    </i>
    <i r="1">
      <x v="508"/>
    </i>
    <i>
      <x v="126"/>
    </i>
    <i r="1">
      <x v="248"/>
    </i>
    <i>
      <x v="127"/>
    </i>
    <i r="1">
      <x v="250"/>
    </i>
    <i r="1">
      <x v="267"/>
    </i>
    <i r="1">
      <x v="296"/>
    </i>
    <i r="1">
      <x v="436"/>
    </i>
    <i>
      <x v="128"/>
    </i>
    <i r="1">
      <x v="252"/>
    </i>
    <i>
      <x v="129"/>
    </i>
    <i r="1">
      <x v="253"/>
    </i>
    <i r="1">
      <x v="265"/>
    </i>
    <i r="1">
      <x v="507"/>
    </i>
    <i>
      <x v="130"/>
    </i>
    <i r="1">
      <x v="254"/>
    </i>
    <i r="1">
      <x v="268"/>
    </i>
    <i r="1">
      <x v="269"/>
    </i>
    <i r="1">
      <x v="542"/>
    </i>
    <i>
      <x v="131"/>
    </i>
    <i r="1">
      <x v="255"/>
    </i>
    <i r="1">
      <x v="256"/>
    </i>
    <i>
      <x v="132"/>
    </i>
    <i r="1">
      <x v="455"/>
    </i>
    <i r="1">
      <x v="457"/>
    </i>
    <i r="1">
      <x v="490"/>
    </i>
    <i r="1">
      <x v="571"/>
    </i>
    <i r="1">
      <x v="591"/>
    </i>
    <i>
      <x v="133"/>
    </i>
    <i r="1">
      <x v="261"/>
    </i>
    <i r="1">
      <x v="263"/>
    </i>
    <i r="1">
      <x v="330"/>
    </i>
    <i r="1">
      <x v="531"/>
    </i>
    <i r="1">
      <x v="543"/>
    </i>
    <i r="1">
      <x v="546"/>
    </i>
    <i r="1">
      <x v="547"/>
    </i>
    <i>
      <x v="134"/>
    </i>
    <i r="1">
      <x v="266"/>
    </i>
    <i r="1">
      <x v="309"/>
    </i>
    <i r="1">
      <x v="511"/>
    </i>
    <i r="1">
      <x v="512"/>
    </i>
    <i r="1">
      <x v="530"/>
    </i>
    <i r="1">
      <x v="572"/>
    </i>
    <i r="1">
      <x v="576"/>
    </i>
    <i>
      <x v="136"/>
    </i>
    <i r="1">
      <x v="270"/>
    </i>
    <i>
      <x v="137"/>
    </i>
    <i r="1">
      <x v="278"/>
    </i>
    <i r="1">
      <x v="349"/>
    </i>
    <i>
      <x v="138"/>
    </i>
    <i r="1">
      <x v="281"/>
    </i>
    <i r="1">
      <x v="282"/>
    </i>
    <i r="1">
      <x v="329"/>
    </i>
    <i r="1">
      <x v="450"/>
    </i>
    <i>
      <x v="139"/>
    </i>
    <i r="1">
      <x v="284"/>
    </i>
    <i>
      <x v="141"/>
    </i>
    <i r="1">
      <x v="292"/>
    </i>
    <i>
      <x v="142"/>
    </i>
    <i r="1">
      <x v="293"/>
    </i>
    <i>
      <x v="143"/>
    </i>
    <i r="1">
      <x v="300"/>
    </i>
    <i r="1">
      <x v="323"/>
    </i>
    <i>
      <x v="144"/>
    </i>
    <i r="1">
      <x v="303"/>
    </i>
    <i r="1">
      <x v="321"/>
    </i>
    <i r="1">
      <x v="447"/>
    </i>
    <i r="1">
      <x v="488"/>
    </i>
    <i>
      <x v="145"/>
    </i>
    <i r="1">
      <x v="305"/>
    </i>
    <i>
      <x v="146"/>
    </i>
    <i r="1">
      <x v="307"/>
    </i>
    <i r="1">
      <x v="318"/>
    </i>
    <i>
      <x v="147"/>
    </i>
    <i r="1">
      <x v="310"/>
    </i>
    <i r="1">
      <x v="315"/>
    </i>
    <i>
      <x v="148"/>
    </i>
    <i r="1">
      <x v="316"/>
    </i>
    <i>
      <x v="149"/>
    </i>
    <i r="1">
      <x v="327"/>
    </i>
    <i r="1">
      <x v="437"/>
    </i>
    <i r="1">
      <x v="491"/>
    </i>
    <i>
      <x v="150"/>
    </i>
    <i r="1">
      <x v="328"/>
    </i>
    <i r="1">
      <x v="592"/>
    </i>
    <i>
      <x v="151"/>
    </i>
    <i r="1">
      <x v="332"/>
    </i>
    <i>
      <x v="152"/>
    </i>
    <i r="1">
      <x v="333"/>
    </i>
    <i>
      <x v="153"/>
    </i>
    <i r="1">
      <x v="334"/>
    </i>
    <i>
      <x v="155"/>
    </i>
    <i r="1">
      <x v="344"/>
    </i>
    <i r="1">
      <x v="459"/>
    </i>
    <i r="1">
      <x v="494"/>
    </i>
    <i r="1">
      <x v="495"/>
    </i>
    <i>
      <x v="156"/>
    </i>
    <i r="1">
      <x v="346"/>
    </i>
    <i>
      <x v="157"/>
    </i>
    <i r="1">
      <x v="348"/>
    </i>
    <i r="1">
      <x v="442"/>
    </i>
    <i>
      <x v="158"/>
    </i>
    <i r="1">
      <x v="350"/>
    </i>
    <i>
      <x v="159"/>
    </i>
    <i r="1">
      <x v="351"/>
    </i>
    <i>
      <x v="160"/>
    </i>
    <i r="1">
      <x v="353"/>
    </i>
    <i r="1">
      <x v="569"/>
    </i>
    <i>
      <x v="162"/>
    </i>
    <i r="1">
      <x v="260"/>
    </i>
    <i r="1">
      <x v="285"/>
    </i>
    <i r="1">
      <x v="287"/>
    </i>
    <i r="1">
      <x v="288"/>
    </i>
    <i r="1">
      <x v="294"/>
    </i>
    <i r="1">
      <x v="355"/>
    </i>
    <i r="1">
      <x v="356"/>
    </i>
    <i r="1">
      <x v="357"/>
    </i>
    <i r="1">
      <x v="456"/>
    </i>
    <i r="1">
      <x v="513"/>
    </i>
    <i r="1">
      <x v="573"/>
    </i>
    <i>
      <x v="163"/>
    </i>
    <i r="1">
      <x v="354"/>
    </i>
    <i r="1">
      <x v="514"/>
    </i>
    <i r="1">
      <x v="515"/>
    </i>
    <i>
      <x v="164"/>
    </i>
    <i r="1">
      <x v="343"/>
    </i>
    <i r="1">
      <x v="510"/>
    </i>
    <i r="1">
      <x v="545"/>
    </i>
    <i>
      <x v="165"/>
    </i>
    <i r="1">
      <x v="360"/>
    </i>
    <i>
      <x v="166"/>
    </i>
    <i r="1">
      <x v="361"/>
    </i>
    <i>
      <x v="167"/>
    </i>
    <i r="1">
      <x v="362"/>
    </i>
    <i r="1">
      <x v="366"/>
    </i>
    <i>
      <x v="168"/>
    </i>
    <i r="1">
      <x v="363"/>
    </i>
    <i r="1">
      <x v="374"/>
    </i>
    <i>
      <x v="169"/>
    </i>
    <i r="1">
      <x v="364"/>
    </i>
    <i r="1">
      <x v="365"/>
    </i>
    <i r="1">
      <x v="371"/>
    </i>
    <i>
      <x v="170"/>
    </i>
    <i r="1">
      <x v="367"/>
    </i>
    <i>
      <x v="171"/>
    </i>
    <i r="1">
      <x v="368"/>
    </i>
    <i>
      <x v="172"/>
    </i>
    <i r="1">
      <x v="229"/>
    </i>
    <i r="1">
      <x v="271"/>
    </i>
    <i r="1">
      <x v="446"/>
    </i>
    <i r="1">
      <x v="492"/>
    </i>
    <i>
      <x v="173"/>
    </i>
    <i r="1">
      <x v="369"/>
    </i>
    <i r="1">
      <x v="403"/>
    </i>
    <i r="1">
      <x v="404"/>
    </i>
    <i r="1">
      <x v="429"/>
    </i>
    <i>
      <x v="174"/>
    </i>
    <i r="1">
      <x v="370"/>
    </i>
    <i>
      <x v="175"/>
    </i>
    <i r="1">
      <x v="372"/>
    </i>
    <i>
      <x v="176"/>
    </i>
    <i r="1">
      <x v="373"/>
    </i>
    <i>
      <x v="177"/>
    </i>
    <i r="1">
      <x v="375"/>
    </i>
    <i>
      <x v="178"/>
    </i>
    <i r="1">
      <x v="376"/>
    </i>
    <i>
      <x v="179"/>
    </i>
    <i r="1">
      <x v="377"/>
    </i>
    <i r="1">
      <x v="385"/>
    </i>
    <i>
      <x v="180"/>
    </i>
    <i r="1">
      <x v="378"/>
    </i>
    <i>
      <x v="181"/>
    </i>
    <i r="1">
      <x v="379"/>
    </i>
    <i>
      <x v="182"/>
    </i>
    <i r="1">
      <x v="380"/>
    </i>
    <i>
      <x v="183"/>
    </i>
    <i r="1">
      <x v="381"/>
    </i>
    <i>
      <x v="184"/>
    </i>
    <i r="1">
      <x v="382"/>
    </i>
    <i r="1">
      <x v="383"/>
    </i>
    <i>
      <x v="185"/>
    </i>
    <i r="1">
      <x v="384"/>
    </i>
    <i>
      <x v="186"/>
    </i>
    <i r="1">
      <x v="386"/>
    </i>
    <i>
      <x v="187"/>
    </i>
    <i r="1">
      <x v="387"/>
    </i>
    <i>
      <x v="188"/>
    </i>
    <i r="1">
      <x v="388"/>
    </i>
    <i>
      <x v="189"/>
    </i>
    <i r="1">
      <x v="389"/>
    </i>
    <i r="1">
      <x v="408"/>
    </i>
    <i r="1">
      <x v="411"/>
    </i>
    <i>
      <x v="190"/>
    </i>
    <i r="1">
      <x v="390"/>
    </i>
    <i>
      <x v="191"/>
    </i>
    <i r="1">
      <x v="391"/>
    </i>
    <i>
      <x v="192"/>
    </i>
    <i r="1">
      <x v="392"/>
    </i>
    <i>
      <x v="193"/>
    </i>
    <i r="1">
      <x v="393"/>
    </i>
    <i r="1">
      <x v="394"/>
    </i>
    <i>
      <x v="194"/>
    </i>
    <i r="1">
      <x v="395"/>
    </i>
    <i r="1">
      <x v="396"/>
    </i>
    <i r="1">
      <x v="405"/>
    </i>
    <i r="1">
      <x v="406"/>
    </i>
    <i r="1">
      <x v="428"/>
    </i>
    <i r="1">
      <x v="431"/>
    </i>
    <i>
      <x v="195"/>
    </i>
    <i r="1">
      <x v="397"/>
    </i>
    <i r="1">
      <x v="407"/>
    </i>
    <i>
      <x v="196"/>
    </i>
    <i r="1">
      <x v="398"/>
    </i>
    <i r="1">
      <x v="414"/>
    </i>
    <i>
      <x v="197"/>
    </i>
    <i r="1">
      <x v="399"/>
    </i>
    <i>
      <x v="198"/>
    </i>
    <i r="1">
      <x v="400"/>
    </i>
    <i r="1">
      <x v="412"/>
    </i>
    <i>
      <x v="199"/>
    </i>
    <i r="1">
      <x v="401"/>
    </i>
    <i r="1">
      <x v="402"/>
    </i>
    <i>
      <x v="200"/>
    </i>
    <i r="1">
      <x v="409"/>
    </i>
    <i r="1">
      <x v="410"/>
    </i>
    <i>
      <x v="201"/>
    </i>
    <i r="1">
      <x v="413"/>
    </i>
    <i>
      <x v="202"/>
    </i>
    <i r="1">
      <x v="415"/>
    </i>
    <i r="1">
      <x v="419"/>
    </i>
    <i r="1">
      <x v="420"/>
    </i>
    <i r="1">
      <x v="421"/>
    </i>
    <i r="1">
      <x v="425"/>
    </i>
    <i>
      <x v="203"/>
    </i>
    <i r="1">
      <x v="416"/>
    </i>
    <i>
      <x v="204"/>
    </i>
    <i r="1">
      <x v="417"/>
    </i>
    <i>
      <x v="205"/>
    </i>
    <i r="1">
      <x v="418"/>
    </i>
    <i>
      <x v="206"/>
    </i>
    <i r="1">
      <x v="422"/>
    </i>
    <i r="1">
      <x v="423"/>
    </i>
    <i>
      <x v="207"/>
    </i>
    <i r="1">
      <x v="424"/>
    </i>
    <i>
      <x v="208"/>
    </i>
    <i r="1">
      <x v="426"/>
    </i>
    <i r="1">
      <x v="427"/>
    </i>
    <i r="1">
      <x v="430"/>
    </i>
    <i r="1">
      <x v="433"/>
    </i>
    <i>
      <x v="209"/>
    </i>
    <i r="1">
      <x v="432"/>
    </i>
    <i>
      <x v="210"/>
    </i>
    <i r="1">
      <x v="434"/>
    </i>
    <i>
      <x v="211"/>
    </i>
    <i r="1">
      <x v="435"/>
    </i>
    <i>
      <x v="213"/>
    </i>
    <i r="1">
      <x v="438"/>
    </i>
    <i>
      <x v="214"/>
    </i>
    <i r="1">
      <x v="439"/>
    </i>
    <i>
      <x v="215"/>
    </i>
    <i r="1">
      <x v="443"/>
    </i>
    <i>
      <x v="216"/>
    </i>
    <i r="1">
      <x v="444"/>
    </i>
    <i>
      <x v="217"/>
    </i>
    <i r="1">
      <x v="445"/>
    </i>
    <i>
      <x v="219"/>
    </i>
    <i r="1">
      <x v="448"/>
    </i>
    <i r="1">
      <x v="534"/>
    </i>
    <i>
      <x v="221"/>
    </i>
    <i r="1">
      <x v="451"/>
    </i>
    <i r="1">
      <x v="452"/>
    </i>
    <i>
      <x v="222"/>
    </i>
    <i r="1">
      <x v="453"/>
    </i>
    <i r="1">
      <x v="522"/>
    </i>
    <i r="1">
      <x v="523"/>
    </i>
    <i>
      <x v="224"/>
    </i>
    <i r="1">
      <x v="449"/>
    </i>
    <i r="1">
      <x v="528"/>
    </i>
    <i>
      <x v="225"/>
    </i>
    <i r="1">
      <x v="458"/>
    </i>
    <i r="1">
      <x v="548"/>
    </i>
    <i>
      <x v="226"/>
    </i>
    <i r="1">
      <x v="460"/>
    </i>
    <i r="1">
      <x v="577"/>
    </i>
    <i>
      <x v="227"/>
    </i>
    <i r="1">
      <x v="461"/>
    </i>
    <i>
      <x v="228"/>
    </i>
    <i r="1">
      <x v="202"/>
    </i>
    <i r="1">
      <x v="464"/>
    </i>
    <i>
      <x v="229"/>
    </i>
    <i r="1">
      <x v="465"/>
    </i>
    <i r="1">
      <x v="471"/>
    </i>
    <i>
      <x v="230"/>
    </i>
    <i r="1">
      <x v="468"/>
    </i>
    <i>
      <x v="231"/>
    </i>
    <i r="1">
      <x v="469"/>
    </i>
    <i>
      <x v="232"/>
    </i>
    <i r="1">
      <x v="472"/>
    </i>
    <i>
      <x v="233"/>
    </i>
    <i r="1">
      <x v="474"/>
    </i>
    <i>
      <x v="234"/>
    </i>
    <i r="1">
      <x v="475"/>
    </i>
    <i>
      <x v="235"/>
    </i>
    <i r="1">
      <x v="473"/>
    </i>
    <i>
      <x v="236"/>
    </i>
    <i r="1">
      <x v="478"/>
    </i>
    <i>
      <x v="237"/>
    </i>
    <i r="1">
      <x v="479"/>
    </i>
    <i>
      <x v="238"/>
    </i>
    <i r="1">
      <x v="481"/>
    </i>
    <i>
      <x v="239"/>
    </i>
    <i r="1">
      <x v="482"/>
    </i>
    <i r="1">
      <x v="570"/>
    </i>
    <i>
      <x v="240"/>
    </i>
    <i r="1">
      <x v="483"/>
    </i>
    <i r="1">
      <x v="489"/>
    </i>
    <i r="1">
      <x v="535"/>
    </i>
    <i r="1">
      <x v="585"/>
    </i>
    <i>
      <x v="241"/>
    </i>
    <i r="1">
      <x v="486"/>
    </i>
    <i>
      <x v="242"/>
    </i>
    <i r="1">
      <x v="487"/>
    </i>
    <i>
      <x v="243"/>
    </i>
    <i r="1">
      <x v="502"/>
    </i>
    <i>
      <x v="244"/>
    </i>
    <i r="1">
      <x v="503"/>
    </i>
    <i r="1">
      <x v="581"/>
    </i>
    <i>
      <x v="246"/>
    </i>
    <i r="1">
      <x v="517"/>
    </i>
    <i r="1">
      <x v="520"/>
    </i>
    <i>
      <x v="247"/>
    </i>
    <i r="1">
      <x v="527"/>
    </i>
    <i>
      <x v="248"/>
    </i>
    <i r="1">
      <x v="532"/>
    </i>
    <i>
      <x v="249"/>
    </i>
    <i r="1">
      <x v="536"/>
    </i>
    <i>
      <x v="251"/>
    </i>
    <i r="1">
      <x v="537"/>
    </i>
    <i>
      <x v="252"/>
    </i>
    <i r="1">
      <x v="538"/>
    </i>
    <i r="1">
      <x v="563"/>
    </i>
    <i>
      <x v="253"/>
    </i>
    <i r="1">
      <x v="539"/>
    </i>
    <i r="1">
      <x v="541"/>
    </i>
    <i>
      <x v="254"/>
    </i>
    <i r="1">
      <x v="540"/>
    </i>
    <i r="1">
      <x v="551"/>
    </i>
    <i r="1">
      <x v="552"/>
    </i>
    <i r="1">
      <x v="553"/>
    </i>
    <i r="1">
      <x v="554"/>
    </i>
    <i r="1">
      <x v="555"/>
    </i>
    <i r="1">
      <x v="556"/>
    </i>
    <i r="1">
      <x v="557"/>
    </i>
    <i r="1">
      <x v="558"/>
    </i>
    <i>
      <x v="255"/>
    </i>
    <i r="1">
      <x v="550"/>
    </i>
    <i r="1">
      <x v="564"/>
    </i>
    <i r="1">
      <x v="584"/>
    </i>
    <i>
      <x v="256"/>
    </i>
    <i r="1">
      <x v="559"/>
    </i>
    <i r="1">
      <x v="560"/>
    </i>
    <i r="1">
      <x v="562"/>
    </i>
    <i>
      <x v="257"/>
    </i>
    <i r="1">
      <x v="561"/>
    </i>
    <i>
      <x v="259"/>
    </i>
    <i r="1">
      <x v="565"/>
    </i>
    <i>
      <x v="260"/>
    </i>
    <i r="1">
      <x v="567"/>
    </i>
    <i>
      <x v="261"/>
    </i>
    <i r="1">
      <x v="568"/>
    </i>
    <i>
      <x v="262"/>
    </i>
    <i r="1">
      <x v="575"/>
    </i>
    <i>
      <x v="263"/>
    </i>
    <i r="1">
      <x v="580"/>
    </i>
    <i>
      <x v="264"/>
    </i>
    <i r="1">
      <x v="582"/>
    </i>
    <i>
      <x v="265"/>
    </i>
    <i r="1">
      <x v="583"/>
    </i>
    <i>
      <x v="266"/>
    </i>
    <i r="1">
      <x v="586"/>
    </i>
    <i>
      <x v="267"/>
    </i>
    <i r="1">
      <x v="587"/>
    </i>
    <i>
      <x v="268"/>
    </i>
    <i r="1">
      <x v="588"/>
    </i>
    <i>
      <x v="269"/>
    </i>
    <i r="1">
      <x v="589"/>
    </i>
    <i>
      <x v="270"/>
    </i>
    <i r="1">
      <x v="590"/>
    </i>
    <i t="grand">
      <x/>
    </i>
  </rowItems>
  <colItems count="1">
    <i/>
  </colItems>
  <formats count="1">
    <format dxfId="1">
      <pivotArea dataOnly="0" labelOnly="1" fieldPosition="0">
        <references count="1">
          <reference field="11" count="0"/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ela przestawna4" cacheId="2" applyNumberFormats="0" applyBorderFormats="0" applyFontFormats="0" applyPatternFormats="0" applyAlignmentFormats="0" applyWidthHeightFormats="1" dataCaption="Wartości" updatedVersion="5" minRefreshableVersion="3" useAutoFormatting="1" itemPrintTitles="1" createdVersion="5" indent="0" outline="1" outlineData="1" multipleFieldFilters="0">
  <location ref="A3" firstHeaderRow="0" firstDataRow="0" firstDataCol="0" rowPageCount="1" colPageCount="1"/>
  <pivotFields count="21">
    <pivotField showAl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 defaultSubtotal="0"/>
    <pivotField showAll="0" defaultSubtotal="0"/>
    <pivotField axis="axisPage" showAll="0">
      <items count="6">
        <item x="1"/>
        <item x="2"/>
        <item m="1" x="3"/>
        <item m="1" x="4"/>
        <item x="0"/>
        <item t="default"/>
      </items>
    </pivotField>
    <pivotField showAll="0" defaultSubtotal="0"/>
    <pivotField showAll="0" defaultSubtotal="0"/>
    <pivotField showAll="0" defaultSubtotal="0"/>
  </pivotFields>
  <pageFields count="1">
    <pageField fld="17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abela przestawna10" cacheId="0" applyNumberFormats="0" applyBorderFormats="0" applyFontFormats="0" applyPatternFormats="0" applyAlignmentFormats="0" applyWidthHeightFormats="1" dataCaption="Wartości" updatedVersion="5" minRefreshableVersion="3" useAutoFormatting="1" itemPrintTitles="1" createdVersion="5" indent="0" outline="1" outlineData="1" multipleFieldFilters="0">
  <location ref="A3:A15" firstHeaderRow="1" firstDataRow="1" firstDataCol="1" rowPageCount="1" colPageCount="1"/>
  <pivotFields count="16">
    <pivotField showAll="0"/>
    <pivotField axis="axisRow" showAll="0">
      <items count="68">
        <item x="0"/>
        <item x="47"/>
        <item x="55"/>
        <item x="51"/>
        <item x="50"/>
        <item x="65"/>
        <item x="54"/>
        <item x="64"/>
        <item x="57"/>
        <item x="10"/>
        <item x="15"/>
        <item x="17"/>
        <item x="11"/>
        <item x="8"/>
        <item x="6"/>
        <item x="2"/>
        <item x="5"/>
        <item x="7"/>
        <item x="3"/>
        <item x="18"/>
        <item x="12"/>
        <item x="14"/>
        <item x="4"/>
        <item x="46"/>
        <item x="19"/>
        <item x="20"/>
        <item x="21"/>
        <item x="22"/>
        <item x="23"/>
        <item x="24"/>
        <item x="25"/>
        <item x="1"/>
        <item x="26"/>
        <item x="27"/>
        <item x="16"/>
        <item x="28"/>
        <item x="29"/>
        <item x="13"/>
        <item x="56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9"/>
        <item x="45"/>
        <item x="62"/>
        <item x="52"/>
        <item x="53"/>
        <item x="48"/>
        <item x="49"/>
        <item x="66"/>
        <item x="61"/>
        <item x="63"/>
        <item x="58"/>
        <item x="59"/>
        <item x="6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</pivotFields>
  <rowFields count="1">
    <field x="1"/>
  </rowFields>
  <rowItems count="12">
    <i>
      <x v="6"/>
    </i>
    <i>
      <x v="13"/>
    </i>
    <i>
      <x v="14"/>
    </i>
    <i>
      <x v="18"/>
    </i>
    <i>
      <x v="26"/>
    </i>
    <i>
      <x v="27"/>
    </i>
    <i>
      <x v="28"/>
    </i>
    <i>
      <x v="43"/>
    </i>
    <i>
      <x v="44"/>
    </i>
    <i>
      <x v="51"/>
    </i>
    <i>
      <x v="61"/>
    </i>
    <i t="grand">
      <x/>
    </i>
  </rowItems>
  <colItems count="1">
    <i/>
  </colItems>
  <pageFields count="1">
    <pageField fld="14" item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A00-000000000000}" name="Tabela przestawna5" cacheId="1" applyNumberFormats="0" applyBorderFormats="0" applyFontFormats="0" applyPatternFormats="0" applyAlignmentFormats="0" applyWidthHeightFormats="1" dataCaption="Wartości" updatedVersion="5" minRefreshableVersion="3" useAutoFormatting="1" itemPrintTitles="1" createdVersion="5" indent="0" outline="1" outlineData="1" multipleFieldFilters="0">
  <location ref="A1:A207" firstHeaderRow="1" firstDataRow="1" firstDataCol="1"/>
  <pivotFields count="16">
    <pivotField axis="axisRow" showAll="0">
      <items count="84">
        <item x="8"/>
        <item x="10"/>
        <item x="15"/>
        <item x="6"/>
        <item x="17"/>
        <item x="2"/>
        <item x="11"/>
        <item m="1" x="81"/>
        <item x="5"/>
        <item x="7"/>
        <item x="3"/>
        <item x="18"/>
        <item x="12"/>
        <item x="14"/>
        <item x="4"/>
        <item x="48"/>
        <item m="1" x="82"/>
        <item x="20"/>
        <item x="19"/>
        <item x="21"/>
        <item x="22"/>
        <item x="23"/>
        <item x="1"/>
        <item x="25"/>
        <item x="24"/>
        <item x="31"/>
        <item x="30"/>
        <item x="27"/>
        <item x="29"/>
        <item x="16"/>
        <item x="13"/>
        <item x="34"/>
        <item x="33"/>
        <item x="32"/>
        <item x="35"/>
        <item x="39"/>
        <item x="38"/>
        <item x="37"/>
        <item x="36"/>
        <item x="40"/>
        <item x="43"/>
        <item x="44"/>
        <item x="41"/>
        <item x="42"/>
        <item x="45"/>
        <item x="9"/>
        <item x="46"/>
        <item x="28"/>
        <item x="47"/>
        <item x="49"/>
        <item x="26"/>
        <item x="0"/>
        <item x="50"/>
        <item x="51"/>
        <item x="52"/>
        <item x="53"/>
        <item x="54"/>
        <item x="68"/>
        <item x="69"/>
        <item x="70"/>
        <item x="71"/>
        <item x="67"/>
        <item x="55"/>
        <item x="64"/>
        <item x="60"/>
        <item x="56"/>
        <item x="59"/>
        <item x="57"/>
        <item x="58"/>
        <item x="65"/>
        <item x="61"/>
        <item x="63"/>
        <item x="62"/>
        <item x="66"/>
        <item x="72"/>
        <item x="73"/>
        <item x="74"/>
        <item x="75"/>
        <item m="1" x="80"/>
        <item x="76"/>
        <item x="77"/>
        <item x="78"/>
        <item x="79"/>
        <item t="default"/>
      </items>
    </pivotField>
    <pivotField axis="axisRow" showAll="0">
      <items count="82">
        <item sd="0" x="0"/>
        <item sd="0" x="10"/>
        <item sd="0" x="15"/>
        <item sd="0" x="17"/>
        <item sd="0" x="11"/>
        <item sd="0" x="8"/>
        <item sd="0" x="6"/>
        <item sd="0" x="2"/>
        <item sd="0" m="1" x="77"/>
        <item sd="0" x="5"/>
        <item sd="0" x="7"/>
        <item sd="0" x="3"/>
        <item sd="0" x="18"/>
        <item sd="0" x="12"/>
        <item sd="0" x="14"/>
        <item sd="0" x="4"/>
        <item sd="0" x="46"/>
        <item sd="0" m="1" x="78"/>
        <item sd="0" x="19"/>
        <item sd="0" x="20"/>
        <item sd="0" x="21"/>
        <item sd="0" x="22"/>
        <item sd="0" x="23"/>
        <item sd="0" x="24"/>
        <item sd="0" x="25"/>
        <item sd="0" x="1"/>
        <item sd="0" x="26"/>
        <item sd="0" x="27"/>
        <item sd="0" x="16"/>
        <item sd="0" x="28"/>
        <item sd="0" x="29"/>
        <item sd="0" x="13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9"/>
        <item sd="0" x="45"/>
        <item x="47"/>
        <item x="48"/>
        <item x="49"/>
        <item x="50"/>
        <item x="51"/>
        <item x="65"/>
        <item x="66"/>
        <item x="67"/>
        <item x="68"/>
        <item x="64"/>
        <item x="52"/>
        <item x="61"/>
        <item x="57"/>
        <item x="53"/>
        <item x="56"/>
        <item m="1" x="80"/>
        <item x="54"/>
        <item x="55"/>
        <item x="62"/>
        <item x="58"/>
        <item x="60"/>
        <item x="59"/>
        <item x="63"/>
        <item x="69"/>
        <item x="70"/>
        <item x="71"/>
        <item x="72"/>
        <item x="73"/>
        <item x="74"/>
        <item m="1" x="79"/>
        <item x="75"/>
        <item x="76"/>
        <item t="default" sd="0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54">
        <item m="1" x="51"/>
        <item x="9"/>
        <item x="7"/>
        <item x="16"/>
        <item x="10"/>
        <item x="2"/>
        <item m="1" x="48"/>
        <item x="11"/>
        <item x="13"/>
        <item x="4"/>
        <item x="14"/>
        <item x="5"/>
        <item x="17"/>
        <item x="18"/>
        <item x="20"/>
        <item m="1" x="50"/>
        <item x="19"/>
        <item x="23"/>
        <item x="25"/>
        <item x="15"/>
        <item x="26"/>
        <item x="21"/>
        <item x="1"/>
        <item x="24"/>
        <item x="27"/>
        <item x="22"/>
        <item m="1" x="52"/>
        <item x="29"/>
        <item x="28"/>
        <item x="8"/>
        <item x="37"/>
        <item m="1" x="49"/>
        <item x="30"/>
        <item x="0"/>
        <item x="43"/>
        <item x="34"/>
        <item x="40"/>
        <item x="32"/>
        <item x="36"/>
        <item x="38"/>
        <item x="44"/>
        <item x="42"/>
        <item x="45"/>
        <item x="39"/>
        <item x="35"/>
        <item x="12"/>
        <item x="33"/>
        <item x="31"/>
        <item m="1" x="47"/>
        <item x="6"/>
        <item x="3"/>
        <item x="46"/>
        <item sd="0" x="41"/>
        <item t="default"/>
      </items>
    </pivotField>
    <pivotField showAll="0"/>
    <pivotField showAll="0"/>
    <pivotField showAll="0" defaultSubtotal="0"/>
    <pivotField showAll="0" defaultSubtotal="0"/>
  </pivotFields>
  <rowFields count="3">
    <field x="11"/>
    <field x="0"/>
    <field x="1"/>
  </rowFields>
  <rowItems count="206">
    <i>
      <x v="1"/>
    </i>
    <i r="1">
      <x v="1"/>
    </i>
    <i r="2">
      <x v="1"/>
    </i>
    <i>
      <x v="2"/>
    </i>
    <i r="1">
      <x/>
    </i>
    <i r="2">
      <x v="5"/>
    </i>
    <i>
      <x v="3"/>
    </i>
    <i r="1">
      <x v="4"/>
    </i>
    <i r="2">
      <x v="3"/>
    </i>
    <i r="1">
      <x v="11"/>
    </i>
    <i r="2">
      <x v="12"/>
    </i>
    <i>
      <x v="4"/>
    </i>
    <i r="1">
      <x v="6"/>
    </i>
    <i r="2">
      <x v="4"/>
    </i>
    <i>
      <x v="5"/>
    </i>
    <i r="1">
      <x v="5"/>
    </i>
    <i r="2">
      <x v="7"/>
    </i>
    <i>
      <x v="7"/>
    </i>
    <i r="1">
      <x v="12"/>
    </i>
    <i r="2">
      <x v="13"/>
    </i>
    <i>
      <x v="8"/>
    </i>
    <i r="1">
      <x v="13"/>
    </i>
    <i r="2">
      <x v="14"/>
    </i>
    <i>
      <x v="9"/>
    </i>
    <i r="1">
      <x v="14"/>
    </i>
    <i r="2">
      <x v="15"/>
    </i>
    <i>
      <x v="10"/>
    </i>
    <i r="1">
      <x v="2"/>
    </i>
    <i r="2">
      <x v="2"/>
    </i>
    <i>
      <x v="11"/>
    </i>
    <i r="1">
      <x v="8"/>
    </i>
    <i r="2">
      <x v="9"/>
    </i>
    <i r="1">
      <x v="9"/>
    </i>
    <i r="2">
      <x v="10"/>
    </i>
    <i>
      <x v="12"/>
    </i>
    <i r="1">
      <x v="18"/>
    </i>
    <i r="2">
      <x v="18"/>
    </i>
    <i>
      <x v="13"/>
    </i>
    <i r="1">
      <x v="17"/>
    </i>
    <i r="2">
      <x v="19"/>
    </i>
    <i>
      <x v="14"/>
    </i>
    <i r="1">
      <x v="20"/>
    </i>
    <i r="2">
      <x v="21"/>
    </i>
    <i r="1">
      <x v="21"/>
    </i>
    <i r="2">
      <x v="22"/>
    </i>
    <i>
      <x v="16"/>
    </i>
    <i r="1">
      <x v="19"/>
    </i>
    <i r="2">
      <x v="20"/>
    </i>
    <i>
      <x v="17"/>
    </i>
    <i r="1">
      <x v="28"/>
    </i>
    <i r="2">
      <x v="27"/>
    </i>
    <i>
      <x v="18"/>
    </i>
    <i r="1">
      <x v="15"/>
    </i>
    <i r="2">
      <x v="16"/>
    </i>
    <i r="1">
      <x v="34"/>
    </i>
    <i r="2">
      <x v="35"/>
    </i>
    <i r="1">
      <x v="36"/>
    </i>
    <i r="2">
      <x v="38"/>
    </i>
    <i>
      <x v="19"/>
    </i>
    <i r="1">
      <x v="29"/>
    </i>
    <i r="2">
      <x v="28"/>
    </i>
    <i r="1">
      <x v="35"/>
    </i>
    <i r="2">
      <x v="39"/>
    </i>
    <i>
      <x v="20"/>
    </i>
    <i r="1">
      <x v="37"/>
    </i>
    <i r="2">
      <x v="37"/>
    </i>
    <i r="1">
      <x v="38"/>
    </i>
    <i r="2">
      <x v="36"/>
    </i>
    <i>
      <x v="21"/>
    </i>
    <i r="1">
      <x v="23"/>
    </i>
    <i r="2">
      <x v="24"/>
    </i>
    <i r="1">
      <x v="24"/>
    </i>
    <i r="2">
      <x v="23"/>
    </i>
    <i r="1">
      <x v="32"/>
    </i>
    <i r="2">
      <x v="33"/>
    </i>
    <i r="1">
      <x v="33"/>
    </i>
    <i r="2">
      <x v="32"/>
    </i>
    <i r="1">
      <x v="49"/>
    </i>
    <i r="2">
      <x v="23"/>
    </i>
    <i r="1">
      <x v="50"/>
    </i>
    <i r="2">
      <x v="24"/>
    </i>
    <i r="1">
      <x v="53"/>
    </i>
    <i r="2">
      <x v="50"/>
    </i>
    <i r="1">
      <x v="54"/>
    </i>
    <i r="2">
      <x v="51"/>
    </i>
    <i>
      <x v="22"/>
    </i>
    <i r="1">
      <x v="22"/>
    </i>
    <i r="2">
      <x v="25"/>
    </i>
    <i r="1">
      <x v="31"/>
    </i>
    <i r="2">
      <x v="34"/>
    </i>
    <i>
      <x v="23"/>
    </i>
    <i r="1">
      <x v="25"/>
    </i>
    <i r="2">
      <x v="30"/>
    </i>
    <i r="1">
      <x v="26"/>
    </i>
    <i r="2">
      <x v="29"/>
    </i>
    <i>
      <x v="24"/>
    </i>
    <i r="1">
      <x v="39"/>
    </i>
    <i r="2">
      <x v="40"/>
    </i>
    <i>
      <x v="25"/>
    </i>
    <i r="1">
      <x v="27"/>
    </i>
    <i r="2">
      <x v="26"/>
    </i>
    <i r="1">
      <x v="42"/>
    </i>
    <i r="2">
      <x v="41"/>
    </i>
    <i r="1">
      <x v="47"/>
    </i>
    <i r="2">
      <x v="26"/>
    </i>
    <i>
      <x v="27"/>
    </i>
    <i r="1">
      <x v="41"/>
    </i>
    <i r="2">
      <x v="44"/>
    </i>
    <i>
      <x v="28"/>
    </i>
    <i r="1">
      <x v="40"/>
    </i>
    <i r="2">
      <x v="43"/>
    </i>
    <i>
      <x v="29"/>
    </i>
    <i r="1">
      <x v="43"/>
    </i>
    <i r="2">
      <x v="42"/>
    </i>
    <i r="1">
      <x v="45"/>
    </i>
    <i r="2">
      <x v="47"/>
    </i>
    <i r="1">
      <x v="46"/>
    </i>
    <i r="2">
      <x v="46"/>
    </i>
    <i r="1">
      <x v="48"/>
    </i>
    <i r="2">
      <x v="48"/>
    </i>
    <i r="1">
      <x v="62"/>
    </i>
    <i r="2">
      <x v="59"/>
    </i>
    <i>
      <x v="30"/>
    </i>
    <i r="1">
      <x v="69"/>
    </i>
    <i r="2">
      <x v="67"/>
    </i>
    <i>
      <x v="32"/>
    </i>
    <i r="1">
      <x v="44"/>
    </i>
    <i r="2">
      <x v="45"/>
    </i>
    <i>
      <x v="33"/>
    </i>
    <i r="1">
      <x v="51"/>
    </i>
    <i r="2">
      <x/>
    </i>
    <i>
      <x v="34"/>
    </i>
    <i r="1">
      <x v="75"/>
    </i>
    <i r="2">
      <x v="73"/>
    </i>
    <i>
      <x v="35"/>
    </i>
    <i r="1">
      <x v="63"/>
    </i>
    <i r="2">
      <x v="60"/>
    </i>
    <i r="1">
      <x v="65"/>
    </i>
    <i r="2">
      <x v="62"/>
    </i>
    <i r="1">
      <x v="73"/>
    </i>
    <i r="2">
      <x v="71"/>
    </i>
    <i r="1">
      <x v="77"/>
    </i>
    <i r="2">
      <x v="75"/>
    </i>
    <i>
      <x v="36"/>
    </i>
    <i r="1">
      <x v="59"/>
    </i>
    <i r="2">
      <x v="56"/>
    </i>
    <i>
      <x v="37"/>
    </i>
    <i r="1">
      <x v="55"/>
    </i>
    <i r="2">
      <x v="52"/>
    </i>
    <i r="1">
      <x v="58"/>
    </i>
    <i r="2">
      <x v="55"/>
    </i>
    <i r="1">
      <x v="70"/>
    </i>
    <i r="2">
      <x v="68"/>
    </i>
    <i>
      <x v="38"/>
    </i>
    <i r="1">
      <x v="68"/>
    </i>
    <i r="2">
      <x v="66"/>
    </i>
    <i r="1">
      <x v="80"/>
    </i>
    <i r="2">
      <x v="77"/>
    </i>
    <i>
      <x v="39"/>
    </i>
    <i r="1">
      <x v="61"/>
    </i>
    <i r="2">
      <x v="58"/>
    </i>
    <i>
      <x v="40"/>
    </i>
    <i r="1">
      <x v="76"/>
    </i>
    <i r="2">
      <x v="74"/>
    </i>
    <i>
      <x v="41"/>
    </i>
    <i r="1">
      <x v="74"/>
    </i>
    <i r="2">
      <x v="72"/>
    </i>
    <i>
      <x v="42"/>
    </i>
    <i r="1">
      <x v="79"/>
    </i>
    <i r="2">
      <x v="76"/>
    </i>
    <i>
      <x v="43"/>
    </i>
    <i r="1">
      <x v="57"/>
    </i>
    <i r="2">
      <x v="54"/>
    </i>
    <i>
      <x v="44"/>
    </i>
    <i r="1">
      <x v="67"/>
    </i>
    <i r="2">
      <x v="65"/>
    </i>
    <i>
      <x v="45"/>
    </i>
    <i r="1">
      <x v="30"/>
    </i>
    <i r="2">
      <x v="31"/>
    </i>
    <i r="1">
      <x v="66"/>
    </i>
    <i r="2">
      <x v="63"/>
    </i>
    <i r="1">
      <x v="71"/>
    </i>
    <i r="2">
      <x v="69"/>
    </i>
    <i r="1">
      <x v="72"/>
    </i>
    <i r="2">
      <x v="70"/>
    </i>
    <i>
      <x v="46"/>
    </i>
    <i r="1">
      <x v="56"/>
    </i>
    <i r="2">
      <x v="53"/>
    </i>
    <i r="1">
      <x v="64"/>
    </i>
    <i r="2">
      <x v="61"/>
    </i>
    <i>
      <x v="47"/>
    </i>
    <i r="1">
      <x v="52"/>
    </i>
    <i r="2">
      <x v="49"/>
    </i>
    <i>
      <x v="49"/>
    </i>
    <i r="1">
      <x v="3"/>
    </i>
    <i r="2">
      <x v="6"/>
    </i>
    <i>
      <x v="50"/>
    </i>
    <i r="1">
      <x v="10"/>
    </i>
    <i r="2">
      <x v="11"/>
    </i>
    <i>
      <x v="51"/>
    </i>
    <i r="1">
      <x v="81"/>
    </i>
    <i r="2">
      <x v="79"/>
    </i>
    <i r="1">
      <x v="82"/>
    </i>
    <i r="2">
      <x v="80"/>
    </i>
    <i>
      <x v="52"/>
    </i>
    <i t="grand">
      <x/>
    </i>
  </rowItems>
  <colItems count="1">
    <i/>
  </colItems>
  <formats count="1">
    <format dxfId="0">
      <pivotArea dataOnly="0" labelOnly="1" fieldPosition="0">
        <references count="1">
          <reference field="1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U610" totalsRowShown="0" headerRowDxfId="29" dataDxfId="27" headerRowBorderDxfId="28" tableBorderDxfId="26">
  <autoFilter ref="A1:U610" xr:uid="{00000000-0009-0000-0100-000001000000}"/>
  <sortState ref="A2:T454">
    <sortCondition ref="A2"/>
  </sortState>
  <tableColumns count="21">
    <tableColumn id="1" xr3:uid="{00000000-0010-0000-0000-000001000000}" name="MODEL" dataDxfId="25"/>
    <tableColumn id="24" xr3:uid="{00000000-0010-0000-0000-000018000000}" name="PEAQ MODEL" dataDxfId="24"/>
    <tableColumn id="2" xr3:uid="{00000000-0010-0000-0000-000002000000}" name="MSN" dataDxfId="23"/>
    <tableColumn id="18" xr3:uid="{00000000-0010-0000-0000-000012000000}" name="STARY MSN" dataDxfId="22"/>
    <tableColumn id="3" xr3:uid="{00000000-0010-0000-0000-000003000000}" name="KOLOR" dataDxfId="21"/>
    <tableColumn id="4" xr3:uid="{00000000-0010-0000-0000-000004000000}" name="RODZAJ PANELA" dataDxfId="20"/>
    <tableColumn id="5" xr3:uid="{00000000-0010-0000-0000-000005000000}" name="HDD " dataDxfId="19"/>
    <tableColumn id="6" xr3:uid="{00000000-0010-0000-0000-000006000000}" name="RAM  " dataDxfId="18"/>
    <tableColumn id="7" xr3:uid="{00000000-0010-0000-0000-000007000000}" name="CPU" dataDxfId="17"/>
    <tableColumn id="8" xr3:uid="{00000000-0010-0000-0000-000008000000}" name="TAKTOWANIE" dataDxfId="16"/>
    <tableColumn id="9" xr3:uid="{00000000-0010-0000-0000-000009000000}" name="OS" dataDxfId="15"/>
    <tableColumn id="10" xr3:uid="{00000000-0010-0000-0000-00000A000000}" name="NR SWM" dataDxfId="14"/>
    <tableColumn id="11" xr3:uid="{00000000-0010-0000-0000-00000B000000}" name="INFORMACJE O OBRAZIE" dataDxfId="13" dataCellStyle="Standard_SPECYFIKACJA"/>
    <tableColumn id="12" xr3:uid="{00000000-0010-0000-0000-00000C000000}" name="WSKAZOWKI" dataDxfId="12"/>
    <tableColumn id="15" xr3:uid="{00000000-0010-0000-0000-00000F000000}" name="MODEL OBUDOWY" dataDxfId="11"/>
    <tableColumn id="14" xr3:uid="{00000000-0010-0000-0000-00000E000000}" name="MODEL PLYTY" dataDxfId="10"/>
    <tableColumn id="17" xr3:uid="{00000000-0010-0000-0000-000011000000}" name="PRODUCENT PLYTY" dataDxfId="9"/>
    <tableColumn id="19" xr3:uid="{00000000-0010-0000-0000-000013000000}" name="SHIPPING" dataDxfId="8"/>
    <tableColumn id="16" xr3:uid="{00000000-0010-0000-0000-000010000000}" name="Zasilacz" dataDxfId="7"/>
    <tableColumn id="13" xr3:uid="{00000000-0010-0000-0000-00000D000000}" name="Linia" dataDxfId="6"/>
    <tableColumn id="20" xr3:uid="{00000000-0010-0000-0000-000014000000}" name="Grafika" dataDxfId="5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3"/>
  </sheetPr>
  <dimension ref="A1:G485"/>
  <sheetViews>
    <sheetView zoomScaleNormal="100" workbookViewId="0">
      <selection activeCell="B5" sqref="B5:C5"/>
    </sheetView>
  </sheetViews>
  <sheetFormatPr defaultRowHeight="30" x14ac:dyDescent="0.4"/>
  <cols>
    <col min="1" max="1" width="33.7109375" customWidth="1"/>
    <col min="2" max="2" width="49" customWidth="1"/>
    <col min="3" max="3" width="53.42578125" style="140" customWidth="1"/>
    <col min="4" max="4" width="15.140625" style="148" customWidth="1"/>
    <col min="5" max="5" width="15.42578125" style="137" customWidth="1"/>
    <col min="6" max="6" width="20.140625" customWidth="1"/>
    <col min="7" max="7" width="13.5703125" customWidth="1"/>
    <col min="8" max="476" width="18" bestFit="1" customWidth="1"/>
    <col min="477" max="477" width="11.7109375" bestFit="1" customWidth="1"/>
  </cols>
  <sheetData>
    <row r="1" spans="1:7" ht="12.75" customHeight="1" x14ac:dyDescent="0.2">
      <c r="A1" s="298" t="s">
        <v>869</v>
      </c>
      <c r="B1" s="298"/>
      <c r="C1" s="298"/>
      <c r="D1" s="298"/>
      <c r="E1" s="299"/>
      <c r="F1" s="299"/>
    </row>
    <row r="2" spans="1:7" ht="12.75" customHeight="1" x14ac:dyDescent="0.2">
      <c r="A2" s="298"/>
      <c r="B2" s="298"/>
      <c r="C2" s="298"/>
      <c r="D2" s="298"/>
      <c r="E2" s="299"/>
      <c r="F2" s="299"/>
    </row>
    <row r="3" spans="1:7" ht="4.5" customHeight="1" x14ac:dyDescent="0.2">
      <c r="A3" s="298"/>
      <c r="B3" s="298"/>
      <c r="C3" s="298"/>
      <c r="D3" s="298"/>
      <c r="E3" s="299"/>
      <c r="F3" s="299"/>
    </row>
    <row r="4" spans="1:7" ht="39" customHeight="1" x14ac:dyDescent="0.2">
      <c r="A4" s="134" t="s">
        <v>868</v>
      </c>
      <c r="B4" s="300">
        <v>99867</v>
      </c>
      <c r="C4" s="300"/>
      <c r="D4" s="288" t="s">
        <v>1031</v>
      </c>
      <c r="E4" s="288"/>
      <c r="F4" s="175" t="s">
        <v>9</v>
      </c>
      <c r="G4" s="176">
        <v>20060556</v>
      </c>
    </row>
    <row r="5" spans="1:7" ht="31.5" customHeight="1" x14ac:dyDescent="0.2">
      <c r="A5" s="134" t="s">
        <v>710</v>
      </c>
      <c r="B5" s="301">
        <f>VLOOKUP($B$4,MD!1:1048576,3,0)</f>
        <v>30021827</v>
      </c>
      <c r="C5" s="301"/>
      <c r="D5" s="289" t="str">
        <f>_xlfn.IFNA(VLOOKUP($B$5,'bledy QC'!$A$1:$C$39,2,0),"-")</f>
        <v>-</v>
      </c>
      <c r="E5" s="289"/>
    </row>
    <row r="6" spans="1:7" ht="26.25" x14ac:dyDescent="0.4">
      <c r="A6" s="133" t="s">
        <v>137</v>
      </c>
      <c r="B6" s="302" t="str">
        <f>IF(VLOOKUP($B$4,MD!$A:$N,4,0) = "n/d","-",VLOOKUP($B$4,MD!$A:$N,4,0))</f>
        <v>-</v>
      </c>
      <c r="C6" s="302"/>
      <c r="D6" s="289"/>
      <c r="E6" s="289"/>
      <c r="F6" s="175" t="s">
        <v>128</v>
      </c>
    </row>
    <row r="7" spans="1:7" ht="26.25" x14ac:dyDescent="0.2">
      <c r="A7" s="134" t="s">
        <v>709</v>
      </c>
      <c r="B7" s="301" t="str">
        <f>IF(VLOOKUP($B$4,MD!$A:$N,5,0) = "n/d","-",VLOOKUP($B$4,MD!$A:$N,5,0))</f>
        <v>-</v>
      </c>
      <c r="C7" s="301"/>
      <c r="D7" s="289" t="str">
        <f>_xlfn.IFNA(VLOOKUP($B$5,'bledy QC'!$E$1:$F$39,2,0),"-")</f>
        <v>-</v>
      </c>
      <c r="E7" s="289"/>
      <c r="F7" s="177">
        <v>99746</v>
      </c>
    </row>
    <row r="8" spans="1:7" ht="26.25" x14ac:dyDescent="0.2">
      <c r="A8" s="134" t="s">
        <v>708</v>
      </c>
      <c r="B8" s="301" t="str">
        <f>VLOOKUP($B$4,MD!$A:$N,6,0)</f>
        <v>Matowy</v>
      </c>
      <c r="C8" s="301"/>
      <c r="D8" s="289"/>
      <c r="E8" s="289"/>
      <c r="F8" s="177">
        <v>99855</v>
      </c>
    </row>
    <row r="9" spans="1:7" ht="26.25" x14ac:dyDescent="0.2">
      <c r="A9" s="134" t="s">
        <v>1032</v>
      </c>
      <c r="B9" s="248" t="str">
        <f>LEFT(A85, FIND(";", A85)-1)</f>
        <v/>
      </c>
      <c r="C9" s="178" t="str">
        <f>RIGHT(A85, LEN(A85)-FIND(";",A85))</f>
        <v>1 TB HDD</v>
      </c>
      <c r="D9" s="289" t="str">
        <f>_xlfn.IFNA(VLOOKUP($B$5,'bledy QC'!$I$1:$J$39,2,0),"-")</f>
        <v>-</v>
      </c>
      <c r="E9" s="289"/>
      <c r="F9" s="177">
        <v>99857</v>
      </c>
    </row>
    <row r="10" spans="1:7" ht="26.25" x14ac:dyDescent="0.2">
      <c r="A10" s="134" t="s">
        <v>122</v>
      </c>
      <c r="B10" s="301" t="str">
        <f>VLOOKUP($B$4,MD!$A:$N,8,0)</f>
        <v>8 GB</v>
      </c>
      <c r="C10" s="301"/>
      <c r="D10" s="289"/>
      <c r="E10" s="289"/>
      <c r="F10" s="177">
        <v>99859</v>
      </c>
    </row>
    <row r="11" spans="1:7" ht="26.25" x14ac:dyDescent="0.2">
      <c r="A11" s="135" t="s">
        <v>2</v>
      </c>
      <c r="B11" s="301" t="str">
        <f>CONCATENATE(VLOOKUP($B$4,MD!$A:$N,9,0)," @",VLOOKUP($B$4,MD!$A:$N,10,0))</f>
        <v>i5-6200U @2,3-2,8 GHz</v>
      </c>
      <c r="C11" s="301"/>
      <c r="D11" s="289" t="str">
        <f>_xlfn.IFNA(VLOOKUP($B$5,naprawa!$A$1:$B$200,2,0),"-")</f>
        <v>Instalacja - Noiseoff Sponge D15 /Shipping mode</v>
      </c>
      <c r="E11" s="289"/>
      <c r="F11" s="177">
        <v>99867</v>
      </c>
    </row>
    <row r="12" spans="1:7" ht="26.25" x14ac:dyDescent="0.2">
      <c r="A12" s="135" t="s">
        <v>691</v>
      </c>
      <c r="B12" s="301" t="str">
        <f>IF(VLOOKUP($B$4,MD!$A:$N,11,0) = "n/d","-",VLOOKUP($B$4,MD!$A:$N,11,0))</f>
        <v>Win 10</v>
      </c>
      <c r="C12" s="301"/>
      <c r="D12" s="289"/>
      <c r="E12" s="289"/>
      <c r="F12" s="177">
        <v>99869</v>
      </c>
    </row>
    <row r="13" spans="1:7" ht="26.25" x14ac:dyDescent="0.4">
      <c r="A13" s="134" t="s">
        <v>707</v>
      </c>
      <c r="B13" s="303">
        <f>IF(VLOOKUP($B$4,MD!$A:$N,12,0) = "n/d","-",VLOOKUP($B$4,MD!$A:$N,12,0))</f>
        <v>20060556</v>
      </c>
      <c r="C13" s="303"/>
      <c r="D13" s="291" t="str">
        <f>IF(VLOOKUP($B$4,MD!$A:$N,13,0) = "n/d","-",VLOOKUP($B$4,MD!$A:$N,13,0))</f>
        <v>Pendrive</v>
      </c>
      <c r="E13" s="291"/>
      <c r="F13" s="177">
        <v>99871</v>
      </c>
    </row>
    <row r="14" spans="1:7" ht="39.75" customHeight="1" x14ac:dyDescent="0.5">
      <c r="A14" s="134" t="s">
        <v>706</v>
      </c>
      <c r="B14" s="301" t="str">
        <f>IF(VLOOKUP($B$4,MD!$A:$N,14,0) = "n/d","-",VLOOKUP($B$4,MD!$A:$N,14,0))</f>
        <v>sponge/ poron</v>
      </c>
      <c r="C14" s="301"/>
      <c r="D14" s="249"/>
      <c r="E14" s="250"/>
      <c r="F14" s="177">
        <v>99696</v>
      </c>
    </row>
    <row r="15" spans="1:7" ht="52.5" x14ac:dyDescent="0.5">
      <c r="A15" s="135" t="s">
        <v>880</v>
      </c>
      <c r="B15" s="290" t="str">
        <f>_xlfn.IFNA(VLOOKUP($B$4,naprawa!$A$1:$B51,2,0),"-")</f>
        <v>-</v>
      </c>
      <c r="C15" s="290"/>
      <c r="D15" s="249"/>
      <c r="E15" s="250"/>
      <c r="F15" s="176" t="s">
        <v>130</v>
      </c>
    </row>
    <row r="16" spans="1:7" ht="26.25" x14ac:dyDescent="0.2">
      <c r="A16" s="134" t="s">
        <v>506</v>
      </c>
      <c r="B16" s="290" t="str">
        <f>IF(VLOOKUP($B$4,MD!$A:$T,18,0) = "TAK", "TAK","NIE")</f>
        <v>TAK</v>
      </c>
      <c r="C16" s="290"/>
      <c r="D16" s="290"/>
      <c r="E16" s="290"/>
    </row>
    <row r="17" spans="1:5" ht="31.5" x14ac:dyDescent="0.5">
      <c r="A17" s="134" t="s">
        <v>510</v>
      </c>
      <c r="B17" s="290" t="str">
        <f>_xlfn.IFNA(VLOOKUP($B$4,MD!$A:$T,15,0),"-")</f>
        <v>P6659</v>
      </c>
      <c r="C17" s="290"/>
      <c r="D17" s="251"/>
      <c r="E17" s="252"/>
    </row>
    <row r="18" spans="1:5" ht="26.25" x14ac:dyDescent="0.2">
      <c r="A18" s="136" t="s">
        <v>867</v>
      </c>
      <c r="B18" s="287" t="str">
        <f>CLEAN(CONCATENATE(IF(VLOOKUP($B$4,MD!$A:$T,16,0) = "n/d", "-",VLOOKUP($B$4,MD!$A:$T,16,0)), " ",IF(VLOOKUP($B$4,MD!$A:$T,17,0) = "n/d","-",VLOOKUP($B$4,MD!$A:$T,17,0)), " ",_xlfn.IFNA(IF($B$17 = "-", "-",VLOOKUP("*"&amp;$B$17&amp;"*",BIOS!A1:G125,4,0)),"-" ), " ||EC: ",_xlfn.IFNA(IF($B$17 = "-", "-",VLOOKUP("*"&amp;$B$17&amp;"*",BIOS!A1:G125,5,0)),"-" ), " ||Build Date: ",_xlfn.IFNA(IF($B$17 = "-", "-",VLOOKUP("*"&amp;$B$17&amp;"*",BIOS!A1:G125,6,0)),"-" )))</f>
        <v xml:space="preserve">D15S Pegatron 222 ||EC:  ||Build Date: </v>
      </c>
      <c r="C18" s="287"/>
      <c r="D18" s="287"/>
      <c r="E18" s="287"/>
    </row>
    <row r="19" spans="1:5" ht="26.25" x14ac:dyDescent="0.4">
      <c r="A19" s="133" t="s">
        <v>1373</v>
      </c>
      <c r="B19" s="304" t="str">
        <f>VLOOKUP($B$4,MD!1:1048576,2,0)</f>
        <v>-</v>
      </c>
      <c r="C19" s="304"/>
      <c r="D19" s="304"/>
      <c r="E19" s="304"/>
    </row>
    <row r="20" spans="1:5" ht="26.25" x14ac:dyDescent="0.2">
      <c r="A20" s="8"/>
      <c r="B20" s="227"/>
      <c r="C20" s="253"/>
      <c r="D20" s="227"/>
      <c r="E20" s="227"/>
    </row>
    <row r="21" spans="1:5" ht="26.25" x14ac:dyDescent="0.2">
      <c r="A21" s="8"/>
      <c r="D21"/>
      <c r="E21"/>
    </row>
    <row r="22" spans="1:5" x14ac:dyDescent="0.4">
      <c r="A22" s="8"/>
    </row>
    <row r="23" spans="1:5" ht="21.75" customHeight="1" x14ac:dyDescent="0.4">
      <c r="A23" s="8"/>
    </row>
    <row r="29" spans="1:5" ht="30.75" thickBot="1" x14ac:dyDescent="0.45"/>
    <row r="30" spans="1:5" x14ac:dyDescent="0.4">
      <c r="A30" s="292" t="s">
        <v>595</v>
      </c>
      <c r="B30" s="293"/>
      <c r="C30" s="294"/>
    </row>
    <row r="31" spans="1:5" ht="21" thickBot="1" x14ac:dyDescent="0.35">
      <c r="A31" s="295" t="s">
        <v>594</v>
      </c>
      <c r="B31" s="296"/>
      <c r="C31" s="297"/>
      <c r="D31"/>
      <c r="E31"/>
    </row>
    <row r="32" spans="1:5" ht="20.25" x14ac:dyDescent="0.3">
      <c r="A32" s="73"/>
      <c r="B32" s="73"/>
      <c r="C32" s="141"/>
      <c r="D32"/>
      <c r="E32"/>
    </row>
    <row r="33" spans="1:5" ht="12.75" x14ac:dyDescent="0.2">
      <c r="A33" t="s">
        <v>554</v>
      </c>
      <c r="D33"/>
      <c r="E33"/>
    </row>
    <row r="34" spans="1:5" ht="12.75" x14ac:dyDescent="0.2">
      <c r="A34" t="s">
        <v>557</v>
      </c>
      <c r="D34"/>
      <c r="E34"/>
    </row>
    <row r="35" spans="1:5" ht="12.75" x14ac:dyDescent="0.2">
      <c r="A35" t="s">
        <v>556</v>
      </c>
      <c r="D35"/>
      <c r="E35"/>
    </row>
    <row r="36" spans="1:5" ht="12.75" x14ac:dyDescent="0.2">
      <c r="A36" s="63" t="s">
        <v>565</v>
      </c>
      <c r="B36" s="63"/>
      <c r="D36"/>
      <c r="E36"/>
    </row>
    <row r="37" spans="1:5" ht="12.75" x14ac:dyDescent="0.2">
      <c r="A37" t="s">
        <v>555</v>
      </c>
      <c r="D37"/>
      <c r="E37"/>
    </row>
    <row r="38" spans="1:5" ht="12.75" x14ac:dyDescent="0.2">
      <c r="A38" t="s">
        <v>558</v>
      </c>
      <c r="D38"/>
      <c r="E38"/>
    </row>
    <row r="39" spans="1:5" ht="12.75" x14ac:dyDescent="0.2">
      <c r="A39" t="s">
        <v>559</v>
      </c>
      <c r="D39"/>
      <c r="E39"/>
    </row>
    <row r="40" spans="1:5" ht="12.75" x14ac:dyDescent="0.2">
      <c r="A40" t="s">
        <v>560</v>
      </c>
      <c r="D40"/>
      <c r="E40"/>
    </row>
    <row r="41" spans="1:5" ht="12.75" x14ac:dyDescent="0.2">
      <c r="A41" t="s">
        <v>561</v>
      </c>
      <c r="D41"/>
      <c r="E41"/>
    </row>
    <row r="42" spans="1:5" ht="12.75" x14ac:dyDescent="0.2">
      <c r="A42" t="s">
        <v>562</v>
      </c>
      <c r="D42"/>
      <c r="E42"/>
    </row>
    <row r="43" spans="1:5" ht="12.75" x14ac:dyDescent="0.2">
      <c r="A43" t="s">
        <v>563</v>
      </c>
      <c r="D43"/>
      <c r="E43"/>
    </row>
    <row r="44" spans="1:5" ht="12.75" x14ac:dyDescent="0.2">
      <c r="A44" s="62" t="s">
        <v>564</v>
      </c>
      <c r="B44" s="62"/>
      <c r="D44"/>
      <c r="E44"/>
    </row>
    <row r="45" spans="1:5" ht="12.75" x14ac:dyDescent="0.2">
      <c r="D45"/>
      <c r="E45"/>
    </row>
    <row r="46" spans="1:5" ht="12.75" x14ac:dyDescent="0.2">
      <c r="D46"/>
      <c r="E46"/>
    </row>
    <row r="47" spans="1:5" ht="13.5" thickBot="1" x14ac:dyDescent="0.25">
      <c r="D47"/>
      <c r="E47"/>
    </row>
    <row r="48" spans="1:5" ht="13.5" thickBot="1" x14ac:dyDescent="0.25">
      <c r="A48" s="71" t="s">
        <v>566</v>
      </c>
      <c r="B48" s="69"/>
      <c r="D48"/>
      <c r="E48"/>
    </row>
    <row r="49" spans="1:5" ht="12.75" x14ac:dyDescent="0.2">
      <c r="A49" s="65"/>
      <c r="B49" s="65"/>
      <c r="D49"/>
      <c r="E49"/>
    </row>
    <row r="50" spans="1:5" ht="12.75" x14ac:dyDescent="0.2">
      <c r="A50" s="67" t="s">
        <v>567</v>
      </c>
      <c r="B50" s="67"/>
      <c r="D50"/>
      <c r="E50"/>
    </row>
    <row r="51" spans="1:5" ht="12.75" x14ac:dyDescent="0.2">
      <c r="A51" s="67" t="s">
        <v>591</v>
      </c>
      <c r="B51" s="67"/>
      <c r="D51"/>
      <c r="E51"/>
    </row>
    <row r="52" spans="1:5" ht="25.5" x14ac:dyDescent="0.2">
      <c r="A52" s="67" t="s">
        <v>568</v>
      </c>
      <c r="B52" s="67"/>
      <c r="D52"/>
      <c r="E52"/>
    </row>
    <row r="53" spans="1:5" ht="12.75" x14ac:dyDescent="0.2">
      <c r="A53" s="67" t="s">
        <v>569</v>
      </c>
      <c r="B53" s="67"/>
      <c r="D53"/>
      <c r="E53"/>
    </row>
    <row r="54" spans="1:5" ht="12.75" x14ac:dyDescent="0.2">
      <c r="A54" s="67" t="s">
        <v>592</v>
      </c>
      <c r="B54" s="67"/>
      <c r="D54"/>
      <c r="E54"/>
    </row>
    <row r="55" spans="1:5" ht="12.75" x14ac:dyDescent="0.2">
      <c r="A55" s="67" t="s">
        <v>570</v>
      </c>
      <c r="B55" s="67"/>
      <c r="D55"/>
      <c r="E55"/>
    </row>
    <row r="56" spans="1:5" ht="12.75" x14ac:dyDescent="0.2">
      <c r="A56" s="67" t="s">
        <v>593</v>
      </c>
      <c r="B56" s="67"/>
      <c r="D56"/>
      <c r="E56"/>
    </row>
    <row r="57" spans="1:5" ht="13.5" thickBot="1" x14ac:dyDescent="0.25">
      <c r="D57"/>
      <c r="E57"/>
    </row>
    <row r="58" spans="1:5" ht="13.5" thickBot="1" x14ac:dyDescent="0.25">
      <c r="A58" s="72" t="s">
        <v>596</v>
      </c>
      <c r="B58" s="151"/>
      <c r="D58"/>
      <c r="E58"/>
    </row>
    <row r="59" spans="1:5" ht="12.75" x14ac:dyDescent="0.2">
      <c r="D59"/>
      <c r="E59"/>
    </row>
    <row r="60" spans="1:5" ht="12.75" x14ac:dyDescent="0.2">
      <c r="A60" s="63" t="s">
        <v>585</v>
      </c>
      <c r="B60" s="63"/>
      <c r="D60"/>
      <c r="E60"/>
    </row>
    <row r="61" spans="1:5" ht="12.75" x14ac:dyDescent="0.2">
      <c r="A61" s="63" t="s">
        <v>586</v>
      </c>
      <c r="B61" s="63"/>
      <c r="D61"/>
      <c r="E61"/>
    </row>
    <row r="62" spans="1:5" ht="12.75" x14ac:dyDescent="0.2">
      <c r="A62" s="63" t="s">
        <v>587</v>
      </c>
      <c r="B62" s="63"/>
      <c r="D62"/>
      <c r="E62"/>
    </row>
    <row r="63" spans="1:5" ht="12.75" x14ac:dyDescent="0.2">
      <c r="A63" s="63" t="s">
        <v>588</v>
      </c>
      <c r="B63" s="63"/>
      <c r="C63" s="142" t="str">
        <f>VLOOKUP($B$4,MD!$A:$T,17,0)</f>
        <v>Pegatron</v>
      </c>
      <c r="D63"/>
      <c r="E63"/>
    </row>
    <row r="64" spans="1:5" ht="12.75" x14ac:dyDescent="0.2">
      <c r="A64" s="63" t="s">
        <v>589</v>
      </c>
      <c r="B64" s="63"/>
      <c r="D64"/>
      <c r="E64"/>
    </row>
    <row r="65" spans="1:5" ht="13.5" thickBot="1" x14ac:dyDescent="0.25">
      <c r="D65"/>
      <c r="E65"/>
    </row>
    <row r="66" spans="1:5" ht="13.5" thickBot="1" x14ac:dyDescent="0.25">
      <c r="A66" s="71" t="s">
        <v>571</v>
      </c>
      <c r="B66" s="69"/>
      <c r="D66"/>
      <c r="E66"/>
    </row>
    <row r="67" spans="1:5" ht="13.5" thickBot="1" x14ac:dyDescent="0.25">
      <c r="A67" s="64"/>
      <c r="B67" s="64"/>
      <c r="D67"/>
      <c r="E67"/>
    </row>
    <row r="68" spans="1:5" ht="13.5" thickBot="1" x14ac:dyDescent="0.25">
      <c r="A68" s="70" t="s">
        <v>572</v>
      </c>
      <c r="B68" s="152"/>
      <c r="D68"/>
      <c r="E68"/>
    </row>
    <row r="69" spans="1:5" ht="12.75" x14ac:dyDescent="0.2">
      <c r="A69" s="66"/>
      <c r="B69" s="66"/>
      <c r="D69"/>
      <c r="E69"/>
    </row>
    <row r="70" spans="1:5" ht="25.5" x14ac:dyDescent="0.2">
      <c r="A70" s="67" t="s">
        <v>573</v>
      </c>
      <c r="B70" s="67"/>
      <c r="D70"/>
      <c r="E70"/>
    </row>
    <row r="71" spans="1:5" ht="12.75" x14ac:dyDescent="0.2">
      <c r="A71" s="67" t="s">
        <v>574</v>
      </c>
      <c r="B71" s="67"/>
      <c r="D71"/>
      <c r="E71"/>
    </row>
    <row r="72" spans="1:5" ht="25.5" x14ac:dyDescent="0.2">
      <c r="A72" s="67" t="s">
        <v>575</v>
      </c>
      <c r="B72" s="67"/>
      <c r="D72"/>
      <c r="E72"/>
    </row>
    <row r="73" spans="1:5" ht="12.75" x14ac:dyDescent="0.2">
      <c r="A73" s="67" t="s">
        <v>576</v>
      </c>
      <c r="B73" s="67"/>
      <c r="C73" s="143" t="s">
        <v>597</v>
      </c>
      <c r="D73"/>
      <c r="E73"/>
    </row>
    <row r="74" spans="1:5" ht="12.75" x14ac:dyDescent="0.2">
      <c r="A74" s="67" t="s">
        <v>577</v>
      </c>
      <c r="B74" s="67"/>
      <c r="D74"/>
      <c r="E74"/>
    </row>
    <row r="75" spans="1:5" ht="12.75" x14ac:dyDescent="0.2">
      <c r="A75" s="67" t="s">
        <v>583</v>
      </c>
      <c r="B75" s="67"/>
      <c r="D75"/>
      <c r="E75"/>
    </row>
    <row r="76" spans="1:5" ht="13.5" thickBot="1" x14ac:dyDescent="0.25">
      <c r="A76" s="68"/>
      <c r="B76" s="68"/>
      <c r="D76"/>
      <c r="E76"/>
    </row>
    <row r="77" spans="1:5" ht="13.5" thickBot="1" x14ac:dyDescent="0.25">
      <c r="A77" s="71" t="s">
        <v>578</v>
      </c>
      <c r="B77" s="69"/>
      <c r="D77"/>
      <c r="E77"/>
    </row>
    <row r="78" spans="1:5" ht="12.75" x14ac:dyDescent="0.2">
      <c r="A78" s="69"/>
      <c r="B78" s="69"/>
      <c r="D78"/>
      <c r="E78"/>
    </row>
    <row r="79" spans="1:5" ht="12.75" x14ac:dyDescent="0.2">
      <c r="A79" s="67" t="s">
        <v>579</v>
      </c>
      <c r="B79" s="67"/>
      <c r="D79"/>
      <c r="E79"/>
    </row>
    <row r="80" spans="1:5" ht="12.75" x14ac:dyDescent="0.2">
      <c r="A80" s="67" t="s">
        <v>584</v>
      </c>
      <c r="B80" s="67"/>
      <c r="D80"/>
      <c r="E80"/>
    </row>
    <row r="81" spans="1:5" ht="12.75" x14ac:dyDescent="0.2">
      <c r="A81" s="67" t="s">
        <v>580</v>
      </c>
      <c r="B81" s="67"/>
      <c r="D81"/>
      <c r="E81"/>
    </row>
    <row r="82" spans="1:5" ht="12.75" x14ac:dyDescent="0.2">
      <c r="A82" s="67" t="s">
        <v>581</v>
      </c>
      <c r="B82" s="67"/>
      <c r="D82"/>
      <c r="E82"/>
    </row>
    <row r="83" spans="1:5" ht="12.75" x14ac:dyDescent="0.2">
      <c r="A83" s="67" t="s">
        <v>582</v>
      </c>
      <c r="B83" s="67"/>
      <c r="D83"/>
      <c r="E83"/>
    </row>
    <row r="84" spans="1:5" ht="12.75" x14ac:dyDescent="0.2">
      <c r="A84" s="68"/>
      <c r="B84" s="68"/>
      <c r="D84"/>
      <c r="E84"/>
    </row>
    <row r="85" spans="1:5" ht="12.75" x14ac:dyDescent="0.2">
      <c r="A85" t="str">
        <f>VLOOKUP($B$4,MD!$A:$N,7,0)</f>
        <v>;1 TB HDD</v>
      </c>
      <c r="D85"/>
      <c r="E85"/>
    </row>
    <row r="86" spans="1:5" ht="12.75" x14ac:dyDescent="0.2">
      <c r="D86"/>
      <c r="E86"/>
    </row>
    <row r="87" spans="1:5" ht="12.75" x14ac:dyDescent="0.2">
      <c r="D87"/>
      <c r="E87"/>
    </row>
    <row r="88" spans="1:5" ht="12.75" x14ac:dyDescent="0.2">
      <c r="D88"/>
      <c r="E88"/>
    </row>
    <row r="89" spans="1:5" ht="12.75" x14ac:dyDescent="0.2">
      <c r="D89"/>
      <c r="E89"/>
    </row>
    <row r="90" spans="1:5" ht="12.75" x14ac:dyDescent="0.2">
      <c r="D90"/>
      <c r="E90"/>
    </row>
    <row r="91" spans="1:5" ht="12.75" x14ac:dyDescent="0.2">
      <c r="D91"/>
      <c r="E91"/>
    </row>
    <row r="92" spans="1:5" ht="12.75" x14ac:dyDescent="0.2">
      <c r="D92"/>
      <c r="E92"/>
    </row>
    <row r="93" spans="1:5" ht="12.75" x14ac:dyDescent="0.2">
      <c r="D93"/>
      <c r="E93"/>
    </row>
    <row r="94" spans="1:5" ht="12.75" x14ac:dyDescent="0.2">
      <c r="D94"/>
      <c r="E94"/>
    </row>
    <row r="95" spans="1:5" ht="12.75" x14ac:dyDescent="0.2">
      <c r="D95"/>
      <c r="E95"/>
    </row>
    <row r="96" spans="1:5" ht="12.75" x14ac:dyDescent="0.2">
      <c r="D96"/>
      <c r="E96"/>
    </row>
    <row r="97" spans="4:5" ht="12.75" x14ac:dyDescent="0.2">
      <c r="D97"/>
      <c r="E97"/>
    </row>
    <row r="98" spans="4:5" ht="12.75" x14ac:dyDescent="0.2">
      <c r="D98"/>
      <c r="E98"/>
    </row>
    <row r="99" spans="4:5" ht="12.75" x14ac:dyDescent="0.2">
      <c r="D99"/>
      <c r="E99"/>
    </row>
    <row r="100" spans="4:5" ht="12.75" x14ac:dyDescent="0.2">
      <c r="D100"/>
      <c r="E100"/>
    </row>
    <row r="101" spans="4:5" ht="12.75" x14ac:dyDescent="0.2">
      <c r="D101"/>
      <c r="E101"/>
    </row>
    <row r="102" spans="4:5" ht="12.75" x14ac:dyDescent="0.2">
      <c r="D102"/>
      <c r="E102"/>
    </row>
    <row r="103" spans="4:5" ht="12.75" x14ac:dyDescent="0.2">
      <c r="D103"/>
      <c r="E103"/>
    </row>
    <row r="104" spans="4:5" ht="12.75" x14ac:dyDescent="0.2">
      <c r="D104"/>
      <c r="E104"/>
    </row>
    <row r="105" spans="4:5" ht="12.75" x14ac:dyDescent="0.2">
      <c r="D105"/>
      <c r="E105"/>
    </row>
    <row r="106" spans="4:5" ht="12.75" x14ac:dyDescent="0.2">
      <c r="D106"/>
      <c r="E106"/>
    </row>
    <row r="107" spans="4:5" ht="12.75" x14ac:dyDescent="0.2">
      <c r="D107"/>
      <c r="E107"/>
    </row>
    <row r="108" spans="4:5" ht="12.75" x14ac:dyDescent="0.2">
      <c r="D108"/>
      <c r="E108"/>
    </row>
    <row r="109" spans="4:5" ht="12.75" x14ac:dyDescent="0.2">
      <c r="D109"/>
      <c r="E109"/>
    </row>
    <row r="110" spans="4:5" ht="12.75" x14ac:dyDescent="0.2">
      <c r="D110"/>
      <c r="E110"/>
    </row>
    <row r="111" spans="4:5" ht="12.75" x14ac:dyDescent="0.2">
      <c r="D111"/>
      <c r="E111"/>
    </row>
    <row r="112" spans="4:5" ht="12.75" x14ac:dyDescent="0.2">
      <c r="D112"/>
      <c r="E112"/>
    </row>
    <row r="113" spans="4:5" ht="12.75" x14ac:dyDescent="0.2">
      <c r="D113"/>
      <c r="E113"/>
    </row>
    <row r="114" spans="4:5" ht="12.75" x14ac:dyDescent="0.2">
      <c r="D114"/>
      <c r="E114"/>
    </row>
    <row r="115" spans="4:5" ht="12.75" x14ac:dyDescent="0.2">
      <c r="D115"/>
      <c r="E115"/>
    </row>
    <row r="116" spans="4:5" ht="12.75" x14ac:dyDescent="0.2">
      <c r="D116"/>
      <c r="E116"/>
    </row>
    <row r="117" spans="4:5" ht="12.75" x14ac:dyDescent="0.2">
      <c r="D117"/>
      <c r="E117"/>
    </row>
    <row r="118" spans="4:5" ht="12.75" x14ac:dyDescent="0.2">
      <c r="D118"/>
      <c r="E118"/>
    </row>
    <row r="119" spans="4:5" ht="12.75" x14ac:dyDescent="0.2">
      <c r="D119"/>
      <c r="E119"/>
    </row>
    <row r="120" spans="4:5" ht="12.75" x14ac:dyDescent="0.2">
      <c r="D120"/>
      <c r="E120"/>
    </row>
    <row r="121" spans="4:5" ht="12.75" x14ac:dyDescent="0.2">
      <c r="D121"/>
      <c r="E121"/>
    </row>
    <row r="122" spans="4:5" ht="12.75" x14ac:dyDescent="0.2">
      <c r="D122"/>
      <c r="E122"/>
    </row>
    <row r="123" spans="4:5" ht="12.75" x14ac:dyDescent="0.2">
      <c r="D123"/>
      <c r="E123"/>
    </row>
    <row r="124" spans="4:5" ht="12.75" x14ac:dyDescent="0.2">
      <c r="D124"/>
      <c r="E124"/>
    </row>
    <row r="125" spans="4:5" ht="12.75" x14ac:dyDescent="0.2">
      <c r="D125"/>
      <c r="E125"/>
    </row>
    <row r="126" spans="4:5" ht="12.75" x14ac:dyDescent="0.2">
      <c r="D126"/>
      <c r="E126"/>
    </row>
    <row r="127" spans="4:5" ht="12.75" x14ac:dyDescent="0.2">
      <c r="D127"/>
      <c r="E127"/>
    </row>
    <row r="128" spans="4:5" ht="12.75" x14ac:dyDescent="0.2">
      <c r="D128"/>
      <c r="E128"/>
    </row>
    <row r="129" spans="4:5" ht="12.75" x14ac:dyDescent="0.2">
      <c r="D129"/>
      <c r="E129"/>
    </row>
    <row r="130" spans="4:5" ht="12.75" x14ac:dyDescent="0.2">
      <c r="D130"/>
      <c r="E130"/>
    </row>
    <row r="131" spans="4:5" ht="12.75" x14ac:dyDescent="0.2">
      <c r="D131"/>
      <c r="E131"/>
    </row>
    <row r="132" spans="4:5" ht="12.75" x14ac:dyDescent="0.2">
      <c r="D132"/>
      <c r="E132"/>
    </row>
    <row r="133" spans="4:5" ht="12.75" x14ac:dyDescent="0.2">
      <c r="D133"/>
      <c r="E133"/>
    </row>
    <row r="134" spans="4:5" ht="12.75" x14ac:dyDescent="0.2">
      <c r="D134"/>
      <c r="E134"/>
    </row>
    <row r="135" spans="4:5" ht="12.75" x14ac:dyDescent="0.2">
      <c r="D135"/>
      <c r="E135"/>
    </row>
    <row r="136" spans="4:5" ht="12.75" x14ac:dyDescent="0.2">
      <c r="D136"/>
      <c r="E136"/>
    </row>
    <row r="137" spans="4:5" ht="12.75" x14ac:dyDescent="0.2">
      <c r="D137"/>
      <c r="E137"/>
    </row>
    <row r="138" spans="4:5" ht="12.75" x14ac:dyDescent="0.2">
      <c r="D138"/>
      <c r="E138"/>
    </row>
    <row r="139" spans="4:5" ht="12.75" x14ac:dyDescent="0.2">
      <c r="D139"/>
      <c r="E139"/>
    </row>
    <row r="140" spans="4:5" ht="12.75" x14ac:dyDescent="0.2">
      <c r="D140"/>
      <c r="E140"/>
    </row>
    <row r="141" spans="4:5" ht="12.75" x14ac:dyDescent="0.2">
      <c r="D141"/>
      <c r="E141"/>
    </row>
    <row r="142" spans="4:5" ht="12.75" x14ac:dyDescent="0.2">
      <c r="D142"/>
      <c r="E142"/>
    </row>
    <row r="143" spans="4:5" ht="12.75" x14ac:dyDescent="0.2">
      <c r="D143"/>
      <c r="E143"/>
    </row>
    <row r="144" spans="4:5" ht="12.75" x14ac:dyDescent="0.2">
      <c r="D144"/>
      <c r="E144"/>
    </row>
    <row r="145" spans="4:5" ht="12.75" x14ac:dyDescent="0.2">
      <c r="D145"/>
      <c r="E145"/>
    </row>
    <row r="146" spans="4:5" ht="12.75" x14ac:dyDescent="0.2">
      <c r="D146"/>
      <c r="E146"/>
    </row>
    <row r="147" spans="4:5" ht="12.75" x14ac:dyDescent="0.2">
      <c r="D147"/>
      <c r="E147"/>
    </row>
    <row r="148" spans="4:5" ht="12.75" x14ac:dyDescent="0.2">
      <c r="D148"/>
      <c r="E148"/>
    </row>
    <row r="149" spans="4:5" ht="12.75" x14ac:dyDescent="0.2">
      <c r="D149"/>
      <c r="E149"/>
    </row>
    <row r="150" spans="4:5" ht="12.75" x14ac:dyDescent="0.2">
      <c r="D150"/>
      <c r="E150"/>
    </row>
    <row r="151" spans="4:5" ht="12.75" x14ac:dyDescent="0.2">
      <c r="D151"/>
      <c r="E151"/>
    </row>
    <row r="152" spans="4:5" ht="12.75" x14ac:dyDescent="0.2">
      <c r="D152"/>
      <c r="E152"/>
    </row>
    <row r="153" spans="4:5" ht="12.75" x14ac:dyDescent="0.2">
      <c r="D153"/>
      <c r="E153"/>
    </row>
    <row r="154" spans="4:5" ht="12.75" x14ac:dyDescent="0.2">
      <c r="D154"/>
      <c r="E154"/>
    </row>
    <row r="155" spans="4:5" ht="12.75" x14ac:dyDescent="0.2">
      <c r="D155"/>
      <c r="E155"/>
    </row>
    <row r="156" spans="4:5" ht="12.75" x14ac:dyDescent="0.2">
      <c r="D156"/>
      <c r="E156"/>
    </row>
    <row r="157" spans="4:5" ht="12.75" x14ac:dyDescent="0.2">
      <c r="D157"/>
      <c r="E157"/>
    </row>
    <row r="158" spans="4:5" ht="12.75" x14ac:dyDescent="0.2">
      <c r="D158"/>
      <c r="E158"/>
    </row>
    <row r="159" spans="4:5" ht="12.75" x14ac:dyDescent="0.2">
      <c r="D159"/>
      <c r="E159"/>
    </row>
    <row r="160" spans="4:5" ht="12.75" x14ac:dyDescent="0.2">
      <c r="D160"/>
      <c r="E160"/>
    </row>
    <row r="161" spans="4:5" ht="12.75" x14ac:dyDescent="0.2">
      <c r="D161"/>
      <c r="E161"/>
    </row>
    <row r="162" spans="4:5" ht="12.75" x14ac:dyDescent="0.2">
      <c r="D162"/>
      <c r="E162"/>
    </row>
    <row r="163" spans="4:5" ht="12.75" x14ac:dyDescent="0.2">
      <c r="D163"/>
      <c r="E163"/>
    </row>
    <row r="164" spans="4:5" ht="12.75" x14ac:dyDescent="0.2">
      <c r="D164"/>
      <c r="E164"/>
    </row>
    <row r="165" spans="4:5" ht="12.75" x14ac:dyDescent="0.2">
      <c r="D165"/>
      <c r="E165"/>
    </row>
    <row r="166" spans="4:5" ht="12.75" x14ac:dyDescent="0.2">
      <c r="D166"/>
      <c r="E166"/>
    </row>
    <row r="167" spans="4:5" ht="12.75" x14ac:dyDescent="0.2">
      <c r="D167"/>
      <c r="E167"/>
    </row>
    <row r="168" spans="4:5" ht="12.75" x14ac:dyDescent="0.2">
      <c r="D168"/>
      <c r="E168"/>
    </row>
    <row r="169" spans="4:5" ht="12.75" x14ac:dyDescent="0.2">
      <c r="D169"/>
      <c r="E169"/>
    </row>
    <row r="170" spans="4:5" ht="12.75" x14ac:dyDescent="0.2">
      <c r="D170"/>
      <c r="E170"/>
    </row>
    <row r="171" spans="4:5" ht="12.75" x14ac:dyDescent="0.2">
      <c r="D171"/>
      <c r="E171"/>
    </row>
    <row r="172" spans="4:5" ht="12.75" x14ac:dyDescent="0.2">
      <c r="D172"/>
      <c r="E172"/>
    </row>
    <row r="173" spans="4:5" ht="12.75" x14ac:dyDescent="0.2">
      <c r="D173"/>
      <c r="E173"/>
    </row>
    <row r="174" spans="4:5" ht="12.75" x14ac:dyDescent="0.2">
      <c r="D174"/>
      <c r="E174"/>
    </row>
    <row r="175" spans="4:5" ht="12.75" x14ac:dyDescent="0.2">
      <c r="D175"/>
      <c r="E175"/>
    </row>
    <row r="176" spans="4:5" ht="12.75" x14ac:dyDescent="0.2">
      <c r="D176"/>
      <c r="E176"/>
    </row>
    <row r="177" spans="4:5" ht="12.75" x14ac:dyDescent="0.2">
      <c r="D177"/>
      <c r="E177"/>
    </row>
    <row r="178" spans="4:5" ht="12.75" x14ac:dyDescent="0.2">
      <c r="D178"/>
      <c r="E178"/>
    </row>
    <row r="179" spans="4:5" ht="12.75" x14ac:dyDescent="0.2">
      <c r="D179"/>
      <c r="E179"/>
    </row>
    <row r="180" spans="4:5" ht="12.75" x14ac:dyDescent="0.2">
      <c r="D180"/>
      <c r="E180"/>
    </row>
    <row r="181" spans="4:5" ht="12.75" x14ac:dyDescent="0.2">
      <c r="D181"/>
      <c r="E181"/>
    </row>
    <row r="182" spans="4:5" ht="12.75" x14ac:dyDescent="0.2">
      <c r="D182"/>
      <c r="E182"/>
    </row>
    <row r="183" spans="4:5" ht="12.75" x14ac:dyDescent="0.2">
      <c r="D183"/>
      <c r="E183"/>
    </row>
    <row r="184" spans="4:5" ht="12.75" x14ac:dyDescent="0.2">
      <c r="D184"/>
      <c r="E184"/>
    </row>
    <row r="185" spans="4:5" ht="12.75" x14ac:dyDescent="0.2">
      <c r="D185"/>
      <c r="E185"/>
    </row>
    <row r="186" spans="4:5" ht="12.75" x14ac:dyDescent="0.2">
      <c r="D186"/>
      <c r="E186"/>
    </row>
    <row r="187" spans="4:5" ht="12.75" x14ac:dyDescent="0.2">
      <c r="D187"/>
      <c r="E187"/>
    </row>
    <row r="188" spans="4:5" ht="12.75" x14ac:dyDescent="0.2">
      <c r="D188"/>
      <c r="E188"/>
    </row>
    <row r="189" spans="4:5" ht="12.75" x14ac:dyDescent="0.2">
      <c r="D189"/>
      <c r="E189"/>
    </row>
    <row r="190" spans="4:5" ht="12.75" x14ac:dyDescent="0.2">
      <c r="D190"/>
      <c r="E190"/>
    </row>
    <row r="191" spans="4:5" ht="12.75" x14ac:dyDescent="0.2">
      <c r="D191"/>
      <c r="E191"/>
    </row>
    <row r="192" spans="4:5" ht="12.75" x14ac:dyDescent="0.2">
      <c r="D192"/>
      <c r="E192"/>
    </row>
    <row r="193" spans="4:5" ht="12.75" x14ac:dyDescent="0.2">
      <c r="D193"/>
      <c r="E193"/>
    </row>
    <row r="194" spans="4:5" ht="12.75" x14ac:dyDescent="0.2">
      <c r="D194"/>
      <c r="E194"/>
    </row>
    <row r="195" spans="4:5" ht="12.75" x14ac:dyDescent="0.2">
      <c r="D195"/>
      <c r="E195"/>
    </row>
    <row r="196" spans="4:5" ht="12.75" x14ac:dyDescent="0.2">
      <c r="D196"/>
      <c r="E196"/>
    </row>
    <row r="197" spans="4:5" ht="12.75" x14ac:dyDescent="0.2">
      <c r="D197"/>
      <c r="E197"/>
    </row>
    <row r="198" spans="4:5" ht="12.75" x14ac:dyDescent="0.2">
      <c r="D198"/>
      <c r="E198"/>
    </row>
    <row r="199" spans="4:5" ht="12.75" x14ac:dyDescent="0.2">
      <c r="D199"/>
      <c r="E199"/>
    </row>
    <row r="200" spans="4:5" ht="12.75" x14ac:dyDescent="0.2">
      <c r="D200"/>
      <c r="E200"/>
    </row>
    <row r="201" spans="4:5" ht="12.75" x14ac:dyDescent="0.2">
      <c r="D201"/>
      <c r="E201"/>
    </row>
    <row r="202" spans="4:5" ht="12.75" x14ac:dyDescent="0.2">
      <c r="D202"/>
      <c r="E202"/>
    </row>
    <row r="203" spans="4:5" ht="12.75" x14ac:dyDescent="0.2">
      <c r="D203"/>
      <c r="E203"/>
    </row>
    <row r="204" spans="4:5" ht="12.75" x14ac:dyDescent="0.2">
      <c r="D204"/>
      <c r="E204"/>
    </row>
    <row r="205" spans="4:5" ht="12.75" x14ac:dyDescent="0.2">
      <c r="D205"/>
      <c r="E205"/>
    </row>
    <row r="206" spans="4:5" ht="12.75" x14ac:dyDescent="0.2">
      <c r="D206"/>
      <c r="E206"/>
    </row>
    <row r="207" spans="4:5" ht="12.75" x14ac:dyDescent="0.2">
      <c r="D207"/>
      <c r="E207"/>
    </row>
    <row r="208" spans="4:5" ht="12.75" x14ac:dyDescent="0.2">
      <c r="D208"/>
      <c r="E208"/>
    </row>
    <row r="209" spans="4:5" ht="12.75" x14ac:dyDescent="0.2">
      <c r="D209"/>
      <c r="E209"/>
    </row>
    <row r="210" spans="4:5" ht="12.75" x14ac:dyDescent="0.2">
      <c r="D210"/>
      <c r="E210"/>
    </row>
    <row r="211" spans="4:5" ht="12.75" x14ac:dyDescent="0.2">
      <c r="D211"/>
      <c r="E211"/>
    </row>
    <row r="212" spans="4:5" ht="12.75" x14ac:dyDescent="0.2">
      <c r="D212"/>
      <c r="E212"/>
    </row>
    <row r="213" spans="4:5" ht="12.75" x14ac:dyDescent="0.2">
      <c r="D213"/>
      <c r="E213"/>
    </row>
    <row r="214" spans="4:5" ht="12.75" x14ac:dyDescent="0.2">
      <c r="D214"/>
      <c r="E214"/>
    </row>
    <row r="215" spans="4:5" ht="12.75" x14ac:dyDescent="0.2">
      <c r="D215"/>
      <c r="E215"/>
    </row>
    <row r="216" spans="4:5" ht="12.75" x14ac:dyDescent="0.2">
      <c r="D216"/>
      <c r="E216"/>
    </row>
    <row r="217" spans="4:5" ht="12.75" x14ac:dyDescent="0.2">
      <c r="D217"/>
      <c r="E217"/>
    </row>
    <row r="218" spans="4:5" ht="12.75" x14ac:dyDescent="0.2">
      <c r="D218"/>
      <c r="E218"/>
    </row>
    <row r="219" spans="4:5" ht="12.75" x14ac:dyDescent="0.2">
      <c r="D219"/>
      <c r="E219"/>
    </row>
    <row r="220" spans="4:5" ht="12.75" x14ac:dyDescent="0.2">
      <c r="D220"/>
      <c r="E220"/>
    </row>
    <row r="221" spans="4:5" ht="12.75" x14ac:dyDescent="0.2">
      <c r="D221"/>
      <c r="E221"/>
    </row>
    <row r="222" spans="4:5" ht="12.75" x14ac:dyDescent="0.2">
      <c r="D222"/>
      <c r="E222"/>
    </row>
    <row r="223" spans="4:5" ht="12.75" x14ac:dyDescent="0.2">
      <c r="D223"/>
      <c r="E223"/>
    </row>
    <row r="224" spans="4:5" ht="12.75" x14ac:dyDescent="0.2">
      <c r="D224"/>
      <c r="E224"/>
    </row>
    <row r="225" spans="4:5" ht="12.75" x14ac:dyDescent="0.2">
      <c r="D225"/>
      <c r="E225"/>
    </row>
    <row r="226" spans="4:5" ht="12.75" x14ac:dyDescent="0.2">
      <c r="D226"/>
      <c r="E226"/>
    </row>
    <row r="227" spans="4:5" ht="12.75" x14ac:dyDescent="0.2">
      <c r="D227"/>
      <c r="E227"/>
    </row>
    <row r="228" spans="4:5" x14ac:dyDescent="0.4">
      <c r="D228"/>
    </row>
    <row r="229" spans="4:5" x14ac:dyDescent="0.4">
      <c r="D229"/>
    </row>
    <row r="230" spans="4:5" x14ac:dyDescent="0.4">
      <c r="D230"/>
    </row>
    <row r="231" spans="4:5" x14ac:dyDescent="0.4">
      <c r="D231"/>
    </row>
    <row r="232" spans="4:5" x14ac:dyDescent="0.4">
      <c r="D232"/>
    </row>
    <row r="233" spans="4:5" x14ac:dyDescent="0.4">
      <c r="D233"/>
    </row>
    <row r="234" spans="4:5" x14ac:dyDescent="0.4">
      <c r="D234"/>
    </row>
    <row r="235" spans="4:5" x14ac:dyDescent="0.4">
      <c r="D235"/>
    </row>
    <row r="236" spans="4:5" x14ac:dyDescent="0.4">
      <c r="D236"/>
    </row>
    <row r="237" spans="4:5" x14ac:dyDescent="0.4">
      <c r="D237"/>
    </row>
    <row r="238" spans="4:5" x14ac:dyDescent="0.4">
      <c r="D238"/>
    </row>
    <row r="239" spans="4:5" x14ac:dyDescent="0.4">
      <c r="D239"/>
    </row>
    <row r="240" spans="4:5" x14ac:dyDescent="0.4">
      <c r="D240"/>
    </row>
    <row r="241" spans="4:4" x14ac:dyDescent="0.4">
      <c r="D241"/>
    </row>
    <row r="242" spans="4:4" x14ac:dyDescent="0.4">
      <c r="D242"/>
    </row>
    <row r="243" spans="4:4" x14ac:dyDescent="0.4">
      <c r="D243"/>
    </row>
    <row r="244" spans="4:4" x14ac:dyDescent="0.4">
      <c r="D244"/>
    </row>
    <row r="245" spans="4:4" x14ac:dyDescent="0.4">
      <c r="D245"/>
    </row>
    <row r="246" spans="4:4" x14ac:dyDescent="0.4">
      <c r="D246"/>
    </row>
    <row r="247" spans="4:4" x14ac:dyDescent="0.4">
      <c r="D247"/>
    </row>
    <row r="248" spans="4:4" x14ac:dyDescent="0.4">
      <c r="D248"/>
    </row>
    <row r="249" spans="4:4" x14ac:dyDescent="0.4">
      <c r="D249"/>
    </row>
    <row r="250" spans="4:4" x14ac:dyDescent="0.4">
      <c r="D250"/>
    </row>
    <row r="251" spans="4:4" x14ac:dyDescent="0.4">
      <c r="D251"/>
    </row>
    <row r="252" spans="4:4" x14ac:dyDescent="0.4">
      <c r="D252"/>
    </row>
    <row r="253" spans="4:4" x14ac:dyDescent="0.4">
      <c r="D253"/>
    </row>
    <row r="254" spans="4:4" x14ac:dyDescent="0.4">
      <c r="D254"/>
    </row>
    <row r="255" spans="4:4" x14ac:dyDescent="0.4">
      <c r="D255"/>
    </row>
    <row r="256" spans="4:4" x14ac:dyDescent="0.4">
      <c r="D256"/>
    </row>
    <row r="257" spans="4:4" x14ac:dyDescent="0.4">
      <c r="D257"/>
    </row>
    <row r="258" spans="4:4" x14ac:dyDescent="0.4">
      <c r="D258"/>
    </row>
    <row r="259" spans="4:4" x14ac:dyDescent="0.4">
      <c r="D259"/>
    </row>
    <row r="260" spans="4:4" x14ac:dyDescent="0.4">
      <c r="D260"/>
    </row>
    <row r="261" spans="4:4" x14ac:dyDescent="0.4">
      <c r="D261"/>
    </row>
    <row r="262" spans="4:4" x14ac:dyDescent="0.4">
      <c r="D262"/>
    </row>
    <row r="263" spans="4:4" x14ac:dyDescent="0.4">
      <c r="D263"/>
    </row>
    <row r="264" spans="4:4" x14ac:dyDescent="0.4">
      <c r="D264"/>
    </row>
    <row r="265" spans="4:4" x14ac:dyDescent="0.4">
      <c r="D265"/>
    </row>
    <row r="266" spans="4:4" x14ac:dyDescent="0.4">
      <c r="D266"/>
    </row>
    <row r="267" spans="4:4" x14ac:dyDescent="0.4">
      <c r="D267"/>
    </row>
    <row r="268" spans="4:4" x14ac:dyDescent="0.4">
      <c r="D268"/>
    </row>
    <row r="269" spans="4:4" x14ac:dyDescent="0.4">
      <c r="D269"/>
    </row>
    <row r="270" spans="4:4" x14ac:dyDescent="0.4">
      <c r="D270"/>
    </row>
    <row r="271" spans="4:4" x14ac:dyDescent="0.4">
      <c r="D271"/>
    </row>
    <row r="272" spans="4:4" x14ac:dyDescent="0.4">
      <c r="D272"/>
    </row>
    <row r="273" spans="4:4" x14ac:dyDescent="0.4">
      <c r="D273"/>
    </row>
    <row r="274" spans="4:4" x14ac:dyDescent="0.4">
      <c r="D274"/>
    </row>
    <row r="275" spans="4:4" x14ac:dyDescent="0.4">
      <c r="D275"/>
    </row>
    <row r="276" spans="4:4" x14ac:dyDescent="0.4">
      <c r="D276"/>
    </row>
    <row r="277" spans="4:4" x14ac:dyDescent="0.4">
      <c r="D277"/>
    </row>
    <row r="278" spans="4:4" x14ac:dyDescent="0.4">
      <c r="D278"/>
    </row>
    <row r="279" spans="4:4" x14ac:dyDescent="0.4">
      <c r="D279"/>
    </row>
    <row r="280" spans="4:4" x14ac:dyDescent="0.4">
      <c r="D280"/>
    </row>
    <row r="281" spans="4:4" x14ac:dyDescent="0.4">
      <c r="D281"/>
    </row>
    <row r="282" spans="4:4" x14ac:dyDescent="0.4">
      <c r="D282"/>
    </row>
    <row r="283" spans="4:4" x14ac:dyDescent="0.4">
      <c r="D283"/>
    </row>
    <row r="284" spans="4:4" x14ac:dyDescent="0.4">
      <c r="D284"/>
    </row>
    <row r="285" spans="4:4" x14ac:dyDescent="0.4">
      <c r="D285"/>
    </row>
    <row r="286" spans="4:4" x14ac:dyDescent="0.4">
      <c r="D286"/>
    </row>
    <row r="287" spans="4:4" x14ac:dyDescent="0.4">
      <c r="D287"/>
    </row>
    <row r="288" spans="4:4" x14ac:dyDescent="0.4">
      <c r="D288"/>
    </row>
    <row r="289" spans="4:4" x14ac:dyDescent="0.4">
      <c r="D289"/>
    </row>
    <row r="290" spans="4:4" x14ac:dyDescent="0.4">
      <c r="D290"/>
    </row>
    <row r="291" spans="4:4" x14ac:dyDescent="0.4">
      <c r="D291"/>
    </row>
    <row r="292" spans="4:4" x14ac:dyDescent="0.4">
      <c r="D292"/>
    </row>
    <row r="293" spans="4:4" x14ac:dyDescent="0.4">
      <c r="D293"/>
    </row>
    <row r="294" spans="4:4" x14ac:dyDescent="0.4">
      <c r="D294"/>
    </row>
    <row r="295" spans="4:4" x14ac:dyDescent="0.4">
      <c r="D295"/>
    </row>
    <row r="296" spans="4:4" x14ac:dyDescent="0.4">
      <c r="D296"/>
    </row>
    <row r="297" spans="4:4" x14ac:dyDescent="0.4">
      <c r="D297"/>
    </row>
    <row r="298" spans="4:4" x14ac:dyDescent="0.4">
      <c r="D298"/>
    </row>
    <row r="299" spans="4:4" x14ac:dyDescent="0.4">
      <c r="D299"/>
    </row>
    <row r="300" spans="4:4" x14ac:dyDescent="0.4">
      <c r="D300"/>
    </row>
    <row r="301" spans="4:4" x14ac:dyDescent="0.4">
      <c r="D301"/>
    </row>
    <row r="302" spans="4:4" x14ac:dyDescent="0.4">
      <c r="D302"/>
    </row>
    <row r="303" spans="4:4" x14ac:dyDescent="0.4">
      <c r="D303"/>
    </row>
    <row r="304" spans="4:4" x14ac:dyDescent="0.4">
      <c r="D304"/>
    </row>
    <row r="305" spans="4:4" x14ac:dyDescent="0.4">
      <c r="D305"/>
    </row>
    <row r="306" spans="4:4" x14ac:dyDescent="0.4">
      <c r="D306"/>
    </row>
    <row r="307" spans="4:4" x14ac:dyDescent="0.4">
      <c r="D307"/>
    </row>
    <row r="308" spans="4:4" x14ac:dyDescent="0.4">
      <c r="D308"/>
    </row>
    <row r="309" spans="4:4" x14ac:dyDescent="0.4">
      <c r="D309"/>
    </row>
    <row r="310" spans="4:4" x14ac:dyDescent="0.4">
      <c r="D310"/>
    </row>
    <row r="311" spans="4:4" x14ac:dyDescent="0.4">
      <c r="D311"/>
    </row>
    <row r="312" spans="4:4" x14ac:dyDescent="0.4">
      <c r="D312"/>
    </row>
    <row r="313" spans="4:4" x14ac:dyDescent="0.4">
      <c r="D313"/>
    </row>
    <row r="314" spans="4:4" x14ac:dyDescent="0.4">
      <c r="D314"/>
    </row>
    <row r="315" spans="4:4" x14ac:dyDescent="0.4">
      <c r="D315"/>
    </row>
    <row r="316" spans="4:4" x14ac:dyDescent="0.4">
      <c r="D316"/>
    </row>
    <row r="317" spans="4:4" x14ac:dyDescent="0.4">
      <c r="D317"/>
    </row>
    <row r="318" spans="4:4" x14ac:dyDescent="0.4">
      <c r="D318"/>
    </row>
    <row r="319" spans="4:4" x14ac:dyDescent="0.4">
      <c r="D319"/>
    </row>
    <row r="320" spans="4:4" x14ac:dyDescent="0.4">
      <c r="D320"/>
    </row>
    <row r="321" spans="4:4" x14ac:dyDescent="0.4">
      <c r="D321"/>
    </row>
    <row r="322" spans="4:4" x14ac:dyDescent="0.4">
      <c r="D322"/>
    </row>
    <row r="323" spans="4:4" x14ac:dyDescent="0.4">
      <c r="D323"/>
    </row>
    <row r="324" spans="4:4" x14ac:dyDescent="0.4">
      <c r="D324"/>
    </row>
    <row r="325" spans="4:4" x14ac:dyDescent="0.4">
      <c r="D325"/>
    </row>
    <row r="326" spans="4:4" x14ac:dyDescent="0.4">
      <c r="D326"/>
    </row>
    <row r="327" spans="4:4" x14ac:dyDescent="0.4">
      <c r="D327"/>
    </row>
    <row r="328" spans="4:4" x14ac:dyDescent="0.4">
      <c r="D328"/>
    </row>
    <row r="329" spans="4:4" x14ac:dyDescent="0.4">
      <c r="D329"/>
    </row>
    <row r="330" spans="4:4" x14ac:dyDescent="0.4">
      <c r="D330"/>
    </row>
    <row r="331" spans="4:4" x14ac:dyDescent="0.4">
      <c r="D331"/>
    </row>
    <row r="332" spans="4:4" x14ac:dyDescent="0.4">
      <c r="D332"/>
    </row>
    <row r="333" spans="4:4" x14ac:dyDescent="0.4">
      <c r="D333"/>
    </row>
    <row r="334" spans="4:4" x14ac:dyDescent="0.4">
      <c r="D334"/>
    </row>
    <row r="335" spans="4:4" x14ac:dyDescent="0.4">
      <c r="D335"/>
    </row>
    <row r="336" spans="4:4" x14ac:dyDescent="0.4">
      <c r="D336"/>
    </row>
    <row r="337" spans="4:4" x14ac:dyDescent="0.4">
      <c r="D337"/>
    </row>
    <row r="338" spans="4:4" x14ac:dyDescent="0.4">
      <c r="D338"/>
    </row>
    <row r="339" spans="4:4" x14ac:dyDescent="0.4">
      <c r="D339"/>
    </row>
    <row r="340" spans="4:4" x14ac:dyDescent="0.4">
      <c r="D340"/>
    </row>
    <row r="341" spans="4:4" x14ac:dyDescent="0.4">
      <c r="D341"/>
    </row>
    <row r="342" spans="4:4" x14ac:dyDescent="0.4">
      <c r="D342"/>
    </row>
    <row r="343" spans="4:4" x14ac:dyDescent="0.4">
      <c r="D343"/>
    </row>
    <row r="344" spans="4:4" x14ac:dyDescent="0.4">
      <c r="D344"/>
    </row>
    <row r="345" spans="4:4" x14ac:dyDescent="0.4">
      <c r="D345"/>
    </row>
    <row r="346" spans="4:4" x14ac:dyDescent="0.4">
      <c r="D346"/>
    </row>
    <row r="347" spans="4:4" x14ac:dyDescent="0.4">
      <c r="D347"/>
    </row>
    <row r="348" spans="4:4" x14ac:dyDescent="0.4">
      <c r="D348"/>
    </row>
    <row r="349" spans="4:4" x14ac:dyDescent="0.4">
      <c r="D349"/>
    </row>
    <row r="350" spans="4:4" x14ac:dyDescent="0.4">
      <c r="D350"/>
    </row>
    <row r="351" spans="4:4" x14ac:dyDescent="0.4">
      <c r="D351"/>
    </row>
    <row r="352" spans="4:4" x14ac:dyDescent="0.4">
      <c r="D352"/>
    </row>
    <row r="353" spans="4:4" x14ac:dyDescent="0.4">
      <c r="D353"/>
    </row>
    <row r="354" spans="4:4" x14ac:dyDescent="0.4">
      <c r="D354"/>
    </row>
    <row r="355" spans="4:4" x14ac:dyDescent="0.4">
      <c r="D355"/>
    </row>
    <row r="356" spans="4:4" x14ac:dyDescent="0.4">
      <c r="D356"/>
    </row>
    <row r="357" spans="4:4" x14ac:dyDescent="0.4">
      <c r="D357"/>
    </row>
    <row r="358" spans="4:4" x14ac:dyDescent="0.4">
      <c r="D358"/>
    </row>
    <row r="359" spans="4:4" x14ac:dyDescent="0.4">
      <c r="D359"/>
    </row>
    <row r="360" spans="4:4" x14ac:dyDescent="0.4">
      <c r="D360"/>
    </row>
    <row r="361" spans="4:4" x14ac:dyDescent="0.4">
      <c r="D361"/>
    </row>
    <row r="362" spans="4:4" x14ac:dyDescent="0.4">
      <c r="D362"/>
    </row>
    <row r="363" spans="4:4" x14ac:dyDescent="0.4">
      <c r="D363"/>
    </row>
    <row r="364" spans="4:4" x14ac:dyDescent="0.4">
      <c r="D364"/>
    </row>
    <row r="365" spans="4:4" x14ac:dyDescent="0.4">
      <c r="D365"/>
    </row>
    <row r="366" spans="4:4" x14ac:dyDescent="0.4">
      <c r="D366"/>
    </row>
    <row r="367" spans="4:4" x14ac:dyDescent="0.4">
      <c r="D367"/>
    </row>
    <row r="368" spans="4:4" x14ac:dyDescent="0.4">
      <c r="D368"/>
    </row>
    <row r="369" spans="4:4" x14ac:dyDescent="0.4">
      <c r="D369"/>
    </row>
    <row r="370" spans="4:4" x14ac:dyDescent="0.4">
      <c r="D370"/>
    </row>
    <row r="371" spans="4:4" x14ac:dyDescent="0.4">
      <c r="D371"/>
    </row>
    <row r="372" spans="4:4" x14ac:dyDescent="0.4">
      <c r="D372"/>
    </row>
    <row r="373" spans="4:4" x14ac:dyDescent="0.4">
      <c r="D373"/>
    </row>
    <row r="374" spans="4:4" x14ac:dyDescent="0.4">
      <c r="D374"/>
    </row>
    <row r="375" spans="4:4" x14ac:dyDescent="0.4">
      <c r="D375"/>
    </row>
    <row r="376" spans="4:4" x14ac:dyDescent="0.4">
      <c r="D376"/>
    </row>
    <row r="377" spans="4:4" x14ac:dyDescent="0.4">
      <c r="D377"/>
    </row>
    <row r="378" spans="4:4" x14ac:dyDescent="0.4">
      <c r="D378"/>
    </row>
    <row r="379" spans="4:4" x14ac:dyDescent="0.4">
      <c r="D379"/>
    </row>
    <row r="380" spans="4:4" x14ac:dyDescent="0.4">
      <c r="D380"/>
    </row>
    <row r="381" spans="4:4" x14ac:dyDescent="0.4">
      <c r="D381"/>
    </row>
    <row r="382" spans="4:4" x14ac:dyDescent="0.4">
      <c r="D382"/>
    </row>
    <row r="383" spans="4:4" x14ac:dyDescent="0.4">
      <c r="D383"/>
    </row>
    <row r="384" spans="4:4" x14ac:dyDescent="0.4">
      <c r="D384"/>
    </row>
    <row r="385" spans="4:4" x14ac:dyDescent="0.4">
      <c r="D385"/>
    </row>
    <row r="386" spans="4:4" x14ac:dyDescent="0.4">
      <c r="D386"/>
    </row>
    <row r="387" spans="4:4" x14ac:dyDescent="0.4">
      <c r="D387"/>
    </row>
    <row r="388" spans="4:4" x14ac:dyDescent="0.4">
      <c r="D388"/>
    </row>
    <row r="389" spans="4:4" x14ac:dyDescent="0.4">
      <c r="D389"/>
    </row>
    <row r="390" spans="4:4" x14ac:dyDescent="0.4">
      <c r="D390"/>
    </row>
    <row r="391" spans="4:4" x14ac:dyDescent="0.4">
      <c r="D391"/>
    </row>
    <row r="392" spans="4:4" x14ac:dyDescent="0.4">
      <c r="D392"/>
    </row>
    <row r="393" spans="4:4" x14ac:dyDescent="0.4">
      <c r="D393"/>
    </row>
    <row r="394" spans="4:4" x14ac:dyDescent="0.4">
      <c r="D394"/>
    </row>
    <row r="395" spans="4:4" x14ac:dyDescent="0.4">
      <c r="D395"/>
    </row>
    <row r="396" spans="4:4" x14ac:dyDescent="0.4">
      <c r="D396"/>
    </row>
    <row r="397" spans="4:4" x14ac:dyDescent="0.4">
      <c r="D397"/>
    </row>
    <row r="398" spans="4:4" x14ac:dyDescent="0.4">
      <c r="D398"/>
    </row>
    <row r="399" spans="4:4" x14ac:dyDescent="0.4">
      <c r="D399"/>
    </row>
    <row r="400" spans="4:4" x14ac:dyDescent="0.4">
      <c r="D400"/>
    </row>
    <row r="401" spans="4:4" x14ac:dyDescent="0.4">
      <c r="D401"/>
    </row>
    <row r="402" spans="4:4" x14ac:dyDescent="0.4">
      <c r="D402"/>
    </row>
    <row r="403" spans="4:4" x14ac:dyDescent="0.4">
      <c r="D403"/>
    </row>
    <row r="404" spans="4:4" x14ac:dyDescent="0.4">
      <c r="D404"/>
    </row>
    <row r="405" spans="4:4" x14ac:dyDescent="0.4">
      <c r="D405"/>
    </row>
    <row r="406" spans="4:4" x14ac:dyDescent="0.4">
      <c r="D406"/>
    </row>
    <row r="407" spans="4:4" x14ac:dyDescent="0.4">
      <c r="D407"/>
    </row>
    <row r="408" spans="4:4" x14ac:dyDescent="0.4">
      <c r="D408"/>
    </row>
    <row r="409" spans="4:4" x14ac:dyDescent="0.4">
      <c r="D409"/>
    </row>
    <row r="410" spans="4:4" x14ac:dyDescent="0.4">
      <c r="D410"/>
    </row>
    <row r="411" spans="4:4" x14ac:dyDescent="0.4">
      <c r="D411"/>
    </row>
    <row r="412" spans="4:4" x14ac:dyDescent="0.4">
      <c r="D412"/>
    </row>
    <row r="413" spans="4:4" x14ac:dyDescent="0.4">
      <c r="D413"/>
    </row>
    <row r="414" spans="4:4" x14ac:dyDescent="0.4">
      <c r="D414"/>
    </row>
    <row r="415" spans="4:4" x14ac:dyDescent="0.4">
      <c r="D415"/>
    </row>
    <row r="416" spans="4:4" x14ac:dyDescent="0.4">
      <c r="D416"/>
    </row>
    <row r="417" spans="4:4" x14ac:dyDescent="0.4">
      <c r="D417"/>
    </row>
    <row r="418" spans="4:4" x14ac:dyDescent="0.4">
      <c r="D418"/>
    </row>
    <row r="419" spans="4:4" x14ac:dyDescent="0.4">
      <c r="D419"/>
    </row>
    <row r="420" spans="4:4" x14ac:dyDescent="0.4">
      <c r="D420"/>
    </row>
    <row r="421" spans="4:4" x14ac:dyDescent="0.4">
      <c r="D421"/>
    </row>
    <row r="422" spans="4:4" x14ac:dyDescent="0.4">
      <c r="D422"/>
    </row>
    <row r="423" spans="4:4" x14ac:dyDescent="0.4">
      <c r="D423"/>
    </row>
    <row r="424" spans="4:4" x14ac:dyDescent="0.4">
      <c r="D424"/>
    </row>
    <row r="425" spans="4:4" x14ac:dyDescent="0.4">
      <c r="D425"/>
    </row>
    <row r="426" spans="4:4" x14ac:dyDescent="0.4">
      <c r="D426"/>
    </row>
    <row r="427" spans="4:4" x14ac:dyDescent="0.4">
      <c r="D427"/>
    </row>
    <row r="428" spans="4:4" x14ac:dyDescent="0.4">
      <c r="D428"/>
    </row>
    <row r="429" spans="4:4" x14ac:dyDescent="0.4">
      <c r="D429"/>
    </row>
    <row r="430" spans="4:4" x14ac:dyDescent="0.4">
      <c r="D430"/>
    </row>
    <row r="431" spans="4:4" x14ac:dyDescent="0.4">
      <c r="D431"/>
    </row>
    <row r="432" spans="4:4" x14ac:dyDescent="0.4">
      <c r="D432"/>
    </row>
    <row r="433" spans="4:4" x14ac:dyDescent="0.4">
      <c r="D433"/>
    </row>
    <row r="434" spans="4:4" x14ac:dyDescent="0.4">
      <c r="D434"/>
    </row>
    <row r="435" spans="4:4" x14ac:dyDescent="0.4">
      <c r="D435"/>
    </row>
    <row r="436" spans="4:4" x14ac:dyDescent="0.4">
      <c r="D436"/>
    </row>
    <row r="437" spans="4:4" x14ac:dyDescent="0.4">
      <c r="D437"/>
    </row>
    <row r="438" spans="4:4" x14ac:dyDescent="0.4">
      <c r="D438"/>
    </row>
    <row r="439" spans="4:4" x14ac:dyDescent="0.4">
      <c r="D439"/>
    </row>
    <row r="440" spans="4:4" x14ac:dyDescent="0.4">
      <c r="D440"/>
    </row>
    <row r="441" spans="4:4" x14ac:dyDescent="0.4">
      <c r="D441"/>
    </row>
    <row r="442" spans="4:4" x14ac:dyDescent="0.4">
      <c r="D442"/>
    </row>
    <row r="443" spans="4:4" x14ac:dyDescent="0.4">
      <c r="D443"/>
    </row>
    <row r="444" spans="4:4" x14ac:dyDescent="0.4">
      <c r="D444"/>
    </row>
    <row r="445" spans="4:4" x14ac:dyDescent="0.4">
      <c r="D445"/>
    </row>
    <row r="446" spans="4:4" x14ac:dyDescent="0.4">
      <c r="D446"/>
    </row>
    <row r="447" spans="4:4" x14ac:dyDescent="0.4">
      <c r="D447"/>
    </row>
    <row r="448" spans="4:4" x14ac:dyDescent="0.4">
      <c r="D448"/>
    </row>
    <row r="449" spans="4:4" x14ac:dyDescent="0.4">
      <c r="D449"/>
    </row>
    <row r="450" spans="4:4" x14ac:dyDescent="0.4">
      <c r="D450"/>
    </row>
    <row r="451" spans="4:4" x14ac:dyDescent="0.4">
      <c r="D451"/>
    </row>
    <row r="452" spans="4:4" x14ac:dyDescent="0.4">
      <c r="D452"/>
    </row>
    <row r="453" spans="4:4" x14ac:dyDescent="0.4">
      <c r="D453"/>
    </row>
    <row r="454" spans="4:4" x14ac:dyDescent="0.4">
      <c r="D454"/>
    </row>
    <row r="455" spans="4:4" x14ac:dyDescent="0.4">
      <c r="D455"/>
    </row>
    <row r="456" spans="4:4" x14ac:dyDescent="0.4">
      <c r="D456"/>
    </row>
    <row r="457" spans="4:4" x14ac:dyDescent="0.4">
      <c r="D457"/>
    </row>
    <row r="458" spans="4:4" x14ac:dyDescent="0.4">
      <c r="D458"/>
    </row>
    <row r="459" spans="4:4" x14ac:dyDescent="0.4">
      <c r="D459"/>
    </row>
    <row r="460" spans="4:4" x14ac:dyDescent="0.4">
      <c r="D460"/>
    </row>
    <row r="461" spans="4:4" x14ac:dyDescent="0.4">
      <c r="D461"/>
    </row>
    <row r="462" spans="4:4" x14ac:dyDescent="0.4">
      <c r="D462"/>
    </row>
    <row r="463" spans="4:4" x14ac:dyDescent="0.4">
      <c r="D463"/>
    </row>
    <row r="464" spans="4:4" x14ac:dyDescent="0.4">
      <c r="D464"/>
    </row>
    <row r="465" spans="4:4" x14ac:dyDescent="0.4">
      <c r="D465"/>
    </row>
    <row r="466" spans="4:4" x14ac:dyDescent="0.4">
      <c r="D466"/>
    </row>
    <row r="467" spans="4:4" x14ac:dyDescent="0.4">
      <c r="D467"/>
    </row>
    <row r="468" spans="4:4" x14ac:dyDescent="0.4">
      <c r="D468"/>
    </row>
    <row r="469" spans="4:4" x14ac:dyDescent="0.4">
      <c r="D469"/>
    </row>
    <row r="470" spans="4:4" x14ac:dyDescent="0.4">
      <c r="D470"/>
    </row>
    <row r="471" spans="4:4" x14ac:dyDescent="0.4">
      <c r="D471"/>
    </row>
    <row r="472" spans="4:4" x14ac:dyDescent="0.4">
      <c r="D472"/>
    </row>
    <row r="473" spans="4:4" x14ac:dyDescent="0.4">
      <c r="D473"/>
    </row>
    <row r="474" spans="4:4" x14ac:dyDescent="0.4">
      <c r="D474"/>
    </row>
    <row r="475" spans="4:4" x14ac:dyDescent="0.4">
      <c r="D475"/>
    </row>
    <row r="476" spans="4:4" x14ac:dyDescent="0.4">
      <c r="D476"/>
    </row>
    <row r="477" spans="4:4" x14ac:dyDescent="0.4">
      <c r="D477"/>
    </row>
    <row r="478" spans="4:4" x14ac:dyDescent="0.4">
      <c r="D478"/>
    </row>
    <row r="479" spans="4:4" x14ac:dyDescent="0.4">
      <c r="D479"/>
    </row>
    <row r="480" spans="4:4" x14ac:dyDescent="0.4">
      <c r="D480"/>
    </row>
    <row r="481" spans="4:4" x14ac:dyDescent="0.4">
      <c r="D481"/>
    </row>
    <row r="482" spans="4:4" x14ac:dyDescent="0.4">
      <c r="D482"/>
    </row>
    <row r="483" spans="4:4" x14ac:dyDescent="0.4">
      <c r="D483"/>
    </row>
    <row r="484" spans="4:4" x14ac:dyDescent="0.4">
      <c r="D484"/>
    </row>
    <row r="485" spans="4:4" x14ac:dyDescent="0.4">
      <c r="D485"/>
    </row>
  </sheetData>
  <mergeCells count="25">
    <mergeCell ref="A30:C30"/>
    <mergeCell ref="A31:C31"/>
    <mergeCell ref="A1:D3"/>
    <mergeCell ref="E1:F3"/>
    <mergeCell ref="B4:C4"/>
    <mergeCell ref="B5:C5"/>
    <mergeCell ref="B6:C6"/>
    <mergeCell ref="B7:C7"/>
    <mergeCell ref="B8:C8"/>
    <mergeCell ref="B10:C10"/>
    <mergeCell ref="B11:C11"/>
    <mergeCell ref="B12:C12"/>
    <mergeCell ref="B13:C13"/>
    <mergeCell ref="B14:C14"/>
    <mergeCell ref="B15:C15"/>
    <mergeCell ref="B19:E19"/>
    <mergeCell ref="B18:E18"/>
    <mergeCell ref="D4:E4"/>
    <mergeCell ref="D5:E6"/>
    <mergeCell ref="D7:E8"/>
    <mergeCell ref="B17:C17"/>
    <mergeCell ref="D9:E10"/>
    <mergeCell ref="D11:E12"/>
    <mergeCell ref="D13:E13"/>
    <mergeCell ref="B16:E16"/>
  </mergeCells>
  <conditionalFormatting sqref="B16">
    <cfRule type="cellIs" dxfId="42" priority="4" operator="equal">
      <formula>"NIE"</formula>
    </cfRule>
    <cfRule type="cellIs" dxfId="41" priority="5" operator="equal">
      <formula>"TAK"</formula>
    </cfRule>
  </conditionalFormatting>
  <pageMargins left="0.7" right="0.7" top="0.75" bottom="0.75" header="0.3" footer="0.3"/>
  <pageSetup orientation="portrait" horizontalDpi="200" verticalDpi="200"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MD!$A$2:$A$10153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50"/>
  </sheetPr>
  <dimension ref="D1:H21"/>
  <sheetViews>
    <sheetView workbookViewId="0">
      <selection activeCell="E4" sqref="E4"/>
    </sheetView>
  </sheetViews>
  <sheetFormatPr defaultRowHeight="12.75" x14ac:dyDescent="0.2"/>
  <cols>
    <col min="4" max="4" width="29.85546875" bestFit="1" customWidth="1"/>
    <col min="5" max="5" width="72.28515625" customWidth="1"/>
  </cols>
  <sheetData>
    <row r="1" spans="4:8" x14ac:dyDescent="0.2">
      <c r="D1" s="298" t="s">
        <v>120</v>
      </c>
      <c r="E1" s="298"/>
    </row>
    <row r="2" spans="4:8" x14ac:dyDescent="0.2">
      <c r="D2" s="298"/>
      <c r="E2" s="298"/>
    </row>
    <row r="3" spans="4:8" x14ac:dyDescent="0.2">
      <c r="D3" s="298"/>
      <c r="E3" s="298"/>
    </row>
    <row r="4" spans="4:8" ht="39" x14ac:dyDescent="0.2">
      <c r="D4" s="8" t="s">
        <v>77</v>
      </c>
      <c r="E4" s="12">
        <v>30020660</v>
      </c>
    </row>
    <row r="5" spans="4:8" ht="26.25" x14ac:dyDescent="0.2">
      <c r="D5" s="8" t="s">
        <v>1</v>
      </c>
      <c r="E5" s="10">
        <f>INDEX(MD!$A:$A,MATCH('PEAQ STARY MSN'!$E$4,MD!$D:$D,0))</f>
        <v>60018</v>
      </c>
    </row>
    <row r="6" spans="4:8" ht="26.25" x14ac:dyDescent="0.2">
      <c r="D6" s="8" t="s">
        <v>0</v>
      </c>
      <c r="E6" s="10">
        <f>INDEX(MD!$C:$C,MATCH('PEAQ STARY MSN'!$E$4,MD!$D:$D,0))</f>
        <v>30023742</v>
      </c>
    </row>
    <row r="7" spans="4:8" ht="26.25" x14ac:dyDescent="0.2">
      <c r="D7" s="8" t="s">
        <v>119</v>
      </c>
      <c r="E7" s="10" t="e">
        <f>INDEX(MD!#REF!,MATCH('PEAQ STARY MSN'!$E$4,MD!$D:$D,0))</f>
        <v>#REF!</v>
      </c>
      <c r="G7" s="144"/>
      <c r="H7" s="144"/>
    </row>
    <row r="8" spans="4:8" ht="26.25" x14ac:dyDescent="0.2">
      <c r="D8" s="8" t="s">
        <v>8</v>
      </c>
      <c r="E8" s="10" t="str">
        <f>INDEX(MD!$F:$F,MATCH('PEAQ STARY MSN'!$E$4,MD!$D:$D,0))</f>
        <v>Matowy</v>
      </c>
      <c r="G8" s="144"/>
      <c r="H8" s="144"/>
    </row>
    <row r="9" spans="4:8" ht="26.25" x14ac:dyDescent="0.2">
      <c r="D9" s="8" t="s">
        <v>4</v>
      </c>
      <c r="E9" s="10" t="str">
        <f>INDEX(MD!$G:$G,MATCH('PEAQ STARY MSN'!$E$4,MD!$D:$D,0))</f>
        <v>128 GB SSD; 1,5 TB HDD</v>
      </c>
    </row>
    <row r="10" spans="4:8" ht="26.25" x14ac:dyDescent="0.2">
      <c r="D10" s="8" t="s">
        <v>122</v>
      </c>
      <c r="E10" s="10" t="str">
        <f>INDEX(MD!$H:$H,MATCH('PEAQ STARY MSN'!$E$4,MD!$D:$D,0))</f>
        <v>6 GB</v>
      </c>
    </row>
    <row r="11" spans="4:8" ht="26.25" x14ac:dyDescent="0.2">
      <c r="D11" s="138" t="s">
        <v>2</v>
      </c>
      <c r="E11" s="10" t="str">
        <f>CONCATENATE(INDEX(MD!$I:$I,MATCH('PEAQ STARY MSN'!$E$4,MD!$D:$D,0))," @",INDEX(MD!$J:$J,MATCH('PEAQ STARY MSN'!$E$4,MD!$D:$D,0)))</f>
        <v>Pentium 4405U @2,10 GHz</v>
      </c>
    </row>
    <row r="12" spans="4:8" ht="26.25" x14ac:dyDescent="0.2">
      <c r="D12" s="9" t="s">
        <v>691</v>
      </c>
      <c r="E12" s="10" t="str">
        <f>INDEX(MD!$K:$K,MATCH('PEAQ STARY MSN'!$E$4,MD!$D:$D,0))</f>
        <v>Win 10</v>
      </c>
    </row>
    <row r="13" spans="4:8" ht="26.25" x14ac:dyDescent="0.2">
      <c r="D13" s="8" t="s">
        <v>118</v>
      </c>
      <c r="E13" s="11">
        <f>INDEX(MD!$L:$L,MATCH('PEAQ STARY MSN'!$E$4,MD!$D:$D,0))</f>
        <v>20062282</v>
      </c>
    </row>
    <row r="14" spans="4:8" ht="26.25" x14ac:dyDescent="0.2">
      <c r="D14" s="8" t="s">
        <v>50</v>
      </c>
      <c r="E14" s="10" t="str">
        <f>INDEX(MD!$M:$M,MATCH('PEAQ STARY MSN'!$E$4,MD!$D:$D,0))</f>
        <v>Pendrive</v>
      </c>
    </row>
    <row r="15" spans="4:8" ht="26.25" x14ac:dyDescent="0.2">
      <c r="D15" s="8" t="s">
        <v>121</v>
      </c>
      <c r="E15" s="10" t="str">
        <f>INDEX(MD!$N:$N,MATCH('PEAQ STARY MSN'!$E$4,MD!$D:$D,0))</f>
        <v>Nagrywać spod SWM 20062496; KB - NL</v>
      </c>
    </row>
    <row r="16" spans="4:8" ht="26.25" x14ac:dyDescent="0.2">
      <c r="D16" s="8" t="s">
        <v>506</v>
      </c>
      <c r="E16" s="10" t="str">
        <f>IF(INDEX(MD!$R:$R,MATCH('PEAQ STARY MSN'!$E$4,MD!$D:$D,0)) = "-","Nie","Tak")</f>
        <v>Tak</v>
      </c>
    </row>
    <row r="17" spans="4:5" ht="26.25" x14ac:dyDescent="0.2">
      <c r="D17" s="8" t="s">
        <v>240</v>
      </c>
      <c r="E17" s="145" t="e">
        <f>INDEX(MD!#REF!,MATCH('PEAQ STARY MSN'!$E$4,MD!$D:$D,0))</f>
        <v>#REF!</v>
      </c>
    </row>
    <row r="18" spans="4:5" ht="26.25" x14ac:dyDescent="0.2">
      <c r="D18" s="8" t="s">
        <v>257</v>
      </c>
      <c r="E18" s="49" t="str">
        <f>_xlfn.IFNA(VLOOKUP(E6,naprawa!$A$1:$B$51,2,0),"-")</f>
        <v>-</v>
      </c>
    </row>
    <row r="19" spans="4:5" ht="26.25" x14ac:dyDescent="0.2">
      <c r="D19" s="8" t="s">
        <v>319</v>
      </c>
      <c r="E19" s="10" t="str">
        <f>_xlfn.IFNA(VLOOKUP($E$6,'bledy QC'!$A$1:$C$39,2,0),"-")</f>
        <v>-</v>
      </c>
    </row>
    <row r="20" spans="4:5" ht="26.25" x14ac:dyDescent="0.2">
      <c r="D20" s="8" t="s">
        <v>319</v>
      </c>
      <c r="E20" s="10" t="str">
        <f>_xlfn.IFNA(VLOOKUP($E$6,'bledy QC'!$E$1:$F$39,2,0),"-")</f>
        <v>-</v>
      </c>
    </row>
    <row r="21" spans="4:5" ht="26.25" x14ac:dyDescent="0.2">
      <c r="D21" s="8" t="s">
        <v>319</v>
      </c>
      <c r="E21" s="10" t="str">
        <f>_xlfn.IFNA(VLOOKUP($E$6,'bledy QC'!$I$1:$J$39,2,0),"-")</f>
        <v>-</v>
      </c>
    </row>
  </sheetData>
  <mergeCells count="1">
    <mergeCell ref="D1:E3"/>
  </mergeCells>
  <conditionalFormatting sqref="E16">
    <cfRule type="cellIs" dxfId="32" priority="1" operator="equal">
      <formula>"Tak"</formula>
    </cfRule>
    <cfRule type="cellIs" dxfId="31" priority="2" operator="equal">
      <formula>"Nie"</formula>
    </cfRule>
  </conditionalFormatting>
  <pageMargins left="0.7" right="0.7" top="0.75" bottom="0.75" header="0.3" footer="0.3"/>
  <pageSetup orientation="portrait" horizontalDpi="200" verticalDpi="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MD!$D:$D</xm:f>
          </x14:formula1>
          <xm:sqref>E4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>
    <tabColor theme="0"/>
    <pageSetUpPr fitToPage="1"/>
  </sheetPr>
  <dimension ref="A1:U637"/>
  <sheetViews>
    <sheetView topLeftCell="M367" zoomScaleNormal="100" workbookViewId="0">
      <selection activeCell="P2" sqref="P2:P610"/>
    </sheetView>
  </sheetViews>
  <sheetFormatPr defaultColWidth="12.140625" defaultRowHeight="20.100000000000001" customHeight="1" x14ac:dyDescent="0.2"/>
  <cols>
    <col min="1" max="1" width="12" style="74" bestFit="1" customWidth="1"/>
    <col min="2" max="2" width="18.140625" style="179" customWidth="1"/>
    <col min="3" max="3" width="40.42578125" style="74" bestFit="1" customWidth="1"/>
    <col min="4" max="4" width="18.140625" style="74" bestFit="1" customWidth="1"/>
    <col min="5" max="5" width="18.140625" style="174" bestFit="1" customWidth="1"/>
    <col min="6" max="6" width="20.7109375" style="174" bestFit="1" customWidth="1"/>
    <col min="7" max="7" width="26.5703125" style="174" bestFit="1" customWidth="1"/>
    <col min="8" max="8" width="10.5703125" style="174" bestFit="1" customWidth="1"/>
    <col min="9" max="9" width="32.85546875" style="174" bestFit="1" customWidth="1"/>
    <col min="10" max="10" width="18" style="174" bestFit="1" customWidth="1"/>
    <col min="11" max="11" width="15.5703125" style="174" bestFit="1" customWidth="1"/>
    <col min="12" max="12" width="20" style="174" bestFit="1" customWidth="1"/>
    <col min="13" max="13" width="46.42578125" style="174" bestFit="1" customWidth="1"/>
    <col min="14" max="14" width="79.5703125" style="174" customWidth="1"/>
    <col min="15" max="15" width="22.28515625" style="174" bestFit="1" customWidth="1"/>
    <col min="16" max="16" width="19" style="174" bestFit="1" customWidth="1"/>
    <col min="17" max="17" width="23" style="174" bestFit="1" customWidth="1"/>
    <col min="18" max="18" width="14" style="174" bestFit="1" customWidth="1"/>
    <col min="19" max="19" width="12.140625" style="174"/>
    <col min="20" max="20" width="10.42578125" style="174" bestFit="1" customWidth="1"/>
    <col min="21" max="21" width="15.140625" style="174" bestFit="1" customWidth="1"/>
    <col min="22" max="16384" width="12.140625" style="174"/>
  </cols>
  <sheetData>
    <row r="1" spans="1:21" ht="20.100000000000001" customHeight="1" x14ac:dyDescent="0.2">
      <c r="A1" s="74" t="s">
        <v>1</v>
      </c>
      <c r="B1" s="179" t="s">
        <v>1297</v>
      </c>
      <c r="C1" s="74" t="s">
        <v>0</v>
      </c>
      <c r="D1" s="74" t="s">
        <v>77</v>
      </c>
      <c r="E1" s="174" t="s">
        <v>123</v>
      </c>
      <c r="F1" s="174" t="s">
        <v>8</v>
      </c>
      <c r="G1" s="174" t="s">
        <v>4</v>
      </c>
      <c r="H1" s="174" t="s">
        <v>5</v>
      </c>
      <c r="I1" s="174" t="s">
        <v>2</v>
      </c>
      <c r="J1" s="174" t="s">
        <v>692</v>
      </c>
      <c r="K1" s="174" t="s">
        <v>691</v>
      </c>
      <c r="L1" s="174" t="s">
        <v>9</v>
      </c>
      <c r="M1" s="174" t="s">
        <v>923</v>
      </c>
      <c r="N1" s="174" t="s">
        <v>49</v>
      </c>
      <c r="O1" s="174" t="s">
        <v>694</v>
      </c>
      <c r="P1" s="174" t="s">
        <v>693</v>
      </c>
      <c r="Q1" s="174" t="s">
        <v>695</v>
      </c>
      <c r="R1" s="174" t="s">
        <v>696</v>
      </c>
      <c r="S1" s="174" t="s">
        <v>588</v>
      </c>
      <c r="T1" s="174" t="s">
        <v>631</v>
      </c>
      <c r="U1" s="183" t="s">
        <v>972</v>
      </c>
    </row>
    <row r="2" spans="1:21" ht="20.100000000000001" customHeight="1" x14ac:dyDescent="0.2">
      <c r="A2" s="74">
        <v>60000</v>
      </c>
      <c r="B2" s="179" t="s">
        <v>881</v>
      </c>
      <c r="C2" s="74">
        <v>30022222</v>
      </c>
      <c r="D2" s="74" t="s">
        <v>881</v>
      </c>
      <c r="E2" s="174" t="s">
        <v>881</v>
      </c>
      <c r="F2" s="174" t="s">
        <v>335</v>
      </c>
      <c r="G2" s="174" t="s">
        <v>1061</v>
      </c>
      <c r="H2" s="174" t="s">
        <v>329</v>
      </c>
      <c r="I2" s="174" t="s">
        <v>1454</v>
      </c>
      <c r="J2" s="174" t="s">
        <v>19</v>
      </c>
      <c r="K2" s="174" t="s">
        <v>96</v>
      </c>
      <c r="L2" s="174" t="s">
        <v>97</v>
      </c>
      <c r="M2" s="174" t="s">
        <v>97</v>
      </c>
      <c r="N2" s="174" t="s">
        <v>97</v>
      </c>
      <c r="O2" s="174" t="s">
        <v>361</v>
      </c>
      <c r="P2" s="174" t="s">
        <v>360</v>
      </c>
      <c r="Q2" s="174" t="s">
        <v>403</v>
      </c>
      <c r="R2" s="174" t="s">
        <v>1196</v>
      </c>
      <c r="S2" s="174">
        <v>40056750</v>
      </c>
      <c r="T2" s="174" t="s">
        <v>632</v>
      </c>
      <c r="U2" s="184"/>
    </row>
    <row r="3" spans="1:21" ht="20.100000000000001" customHeight="1" x14ac:dyDescent="0.2">
      <c r="A3" s="74">
        <v>60007</v>
      </c>
      <c r="B3" s="179" t="s">
        <v>881</v>
      </c>
      <c r="C3" s="74">
        <v>30022008</v>
      </c>
      <c r="D3" s="74" t="s">
        <v>881</v>
      </c>
      <c r="E3" s="174" t="s">
        <v>881</v>
      </c>
      <c r="F3" s="174" t="s">
        <v>335</v>
      </c>
      <c r="G3" s="174" t="s">
        <v>1054</v>
      </c>
      <c r="H3" s="174" t="s">
        <v>326</v>
      </c>
      <c r="I3" s="174" t="s">
        <v>517</v>
      </c>
      <c r="J3" s="174" t="s">
        <v>356</v>
      </c>
      <c r="K3" s="174" t="s">
        <v>334</v>
      </c>
      <c r="L3" s="174" t="s">
        <v>528</v>
      </c>
      <c r="M3" s="185" t="s">
        <v>73</v>
      </c>
      <c r="N3" s="174" t="s">
        <v>255</v>
      </c>
      <c r="O3" s="174" t="s">
        <v>460</v>
      </c>
      <c r="P3" s="174" t="s">
        <v>461</v>
      </c>
      <c r="Q3" s="174" t="s">
        <v>412</v>
      </c>
      <c r="R3" s="174" t="s">
        <v>509</v>
      </c>
      <c r="S3" s="174" t="s">
        <v>881</v>
      </c>
      <c r="T3" s="174">
        <v>3</v>
      </c>
      <c r="U3" s="184"/>
    </row>
    <row r="4" spans="1:21" s="168" customFormat="1" ht="20.100000000000001" customHeight="1" x14ac:dyDescent="0.2">
      <c r="A4" s="171">
        <v>60011</v>
      </c>
      <c r="B4" s="181" t="s">
        <v>1298</v>
      </c>
      <c r="C4" s="171">
        <v>30023094</v>
      </c>
      <c r="D4" s="171">
        <v>30020624</v>
      </c>
      <c r="E4" s="168" t="s">
        <v>881</v>
      </c>
      <c r="F4" s="168" t="s">
        <v>21</v>
      </c>
      <c r="G4" s="168" t="s">
        <v>1058</v>
      </c>
      <c r="H4" s="168" t="s">
        <v>329</v>
      </c>
      <c r="I4" s="168" t="s">
        <v>348</v>
      </c>
      <c r="J4" s="168" t="s">
        <v>349</v>
      </c>
      <c r="K4" s="168" t="s">
        <v>334</v>
      </c>
      <c r="L4" s="168">
        <v>20061796</v>
      </c>
      <c r="M4" s="186" t="s">
        <v>73</v>
      </c>
      <c r="N4" s="168" t="s">
        <v>886</v>
      </c>
      <c r="O4" s="168" t="s">
        <v>1299</v>
      </c>
      <c r="P4" s="168" t="s">
        <v>1511</v>
      </c>
      <c r="Q4" s="168" t="s">
        <v>406</v>
      </c>
      <c r="R4" s="168" t="s">
        <v>1196</v>
      </c>
      <c r="S4" s="168" t="s">
        <v>881</v>
      </c>
      <c r="T4" s="168" t="s">
        <v>881</v>
      </c>
      <c r="U4" s="187"/>
    </row>
    <row r="5" spans="1:21" ht="20.100000000000001" customHeight="1" x14ac:dyDescent="0.2">
      <c r="A5" s="74">
        <v>60014</v>
      </c>
      <c r="B5" s="179" t="s">
        <v>881</v>
      </c>
      <c r="C5" s="74">
        <v>30024271</v>
      </c>
      <c r="D5" s="74" t="s">
        <v>881</v>
      </c>
      <c r="E5" s="174" t="s">
        <v>870</v>
      </c>
      <c r="F5" s="174" t="s">
        <v>335</v>
      </c>
      <c r="G5" s="174" t="s">
        <v>987</v>
      </c>
      <c r="H5" s="174" t="s">
        <v>330</v>
      </c>
      <c r="I5" s="174" t="s">
        <v>517</v>
      </c>
      <c r="J5" s="174" t="s">
        <v>356</v>
      </c>
      <c r="K5" s="174" t="s">
        <v>334</v>
      </c>
      <c r="L5" s="174">
        <v>20061818</v>
      </c>
      <c r="M5" s="185" t="s">
        <v>73</v>
      </c>
      <c r="N5" s="174" t="s">
        <v>881</v>
      </c>
      <c r="O5" s="174" t="s">
        <v>463</v>
      </c>
      <c r="P5" s="174" t="s">
        <v>461</v>
      </c>
      <c r="Q5" s="174" t="s">
        <v>412</v>
      </c>
      <c r="R5" s="174" t="s">
        <v>509</v>
      </c>
      <c r="S5" s="174">
        <v>40057143</v>
      </c>
      <c r="T5" s="174">
        <v>3</v>
      </c>
      <c r="U5" s="184"/>
    </row>
    <row r="6" spans="1:21" s="168" customFormat="1" ht="20.100000000000001" customHeight="1" x14ac:dyDescent="0.2">
      <c r="A6" s="188">
        <v>60017</v>
      </c>
      <c r="B6" s="189" t="s">
        <v>1300</v>
      </c>
      <c r="C6" s="171">
        <v>30023087</v>
      </c>
      <c r="D6" s="171">
        <v>30020559</v>
      </c>
      <c r="E6" s="168" t="s">
        <v>881</v>
      </c>
      <c r="F6" s="168" t="s">
        <v>10</v>
      </c>
      <c r="G6" s="168" t="s">
        <v>1066</v>
      </c>
      <c r="H6" s="168" t="s">
        <v>332</v>
      </c>
      <c r="I6" s="168" t="s">
        <v>553</v>
      </c>
      <c r="J6" s="168" t="s">
        <v>639</v>
      </c>
      <c r="K6" s="168" t="s">
        <v>334</v>
      </c>
      <c r="L6" s="168">
        <v>20063699</v>
      </c>
      <c r="M6" s="168" t="s">
        <v>73</v>
      </c>
      <c r="N6" s="168" t="s">
        <v>79</v>
      </c>
      <c r="O6" s="168" t="s">
        <v>388</v>
      </c>
      <c r="P6" s="168" t="s">
        <v>1496</v>
      </c>
      <c r="Q6" s="168" t="s">
        <v>406</v>
      </c>
      <c r="R6" s="168" t="s">
        <v>1196</v>
      </c>
      <c r="S6" s="168" t="s">
        <v>881</v>
      </c>
      <c r="T6" s="168" t="s">
        <v>881</v>
      </c>
      <c r="U6" s="187"/>
    </row>
    <row r="7" spans="1:21" s="168" customFormat="1" ht="20.100000000000001" customHeight="1" x14ac:dyDescent="0.2">
      <c r="A7" s="188">
        <v>60018</v>
      </c>
      <c r="B7" s="189" t="s">
        <v>1301</v>
      </c>
      <c r="C7" s="171">
        <v>30023742</v>
      </c>
      <c r="D7" s="171">
        <v>30020660</v>
      </c>
      <c r="E7" s="168" t="s">
        <v>881</v>
      </c>
      <c r="F7" s="168" t="s">
        <v>335</v>
      </c>
      <c r="G7" s="190" t="s">
        <v>1004</v>
      </c>
      <c r="H7" s="168" t="s">
        <v>336</v>
      </c>
      <c r="I7" s="168" t="s">
        <v>351</v>
      </c>
      <c r="J7" s="168" t="s">
        <v>37</v>
      </c>
      <c r="K7" s="168" t="s">
        <v>334</v>
      </c>
      <c r="L7" s="168">
        <v>20062282</v>
      </c>
      <c r="M7" s="168" t="s">
        <v>73</v>
      </c>
      <c r="N7" s="168" t="s">
        <v>1016</v>
      </c>
      <c r="O7" s="168" t="s">
        <v>1302</v>
      </c>
      <c r="P7" s="168" t="s">
        <v>815</v>
      </c>
      <c r="Q7" s="168" t="s">
        <v>207</v>
      </c>
      <c r="R7" s="191" t="s">
        <v>1196</v>
      </c>
      <c r="S7" s="168" t="s">
        <v>881</v>
      </c>
      <c r="T7" s="168" t="s">
        <v>881</v>
      </c>
      <c r="U7" s="187"/>
    </row>
    <row r="8" spans="1:21" s="168" customFormat="1" ht="20.100000000000001" customHeight="1" x14ac:dyDescent="0.2">
      <c r="A8" s="188">
        <v>60019</v>
      </c>
      <c r="B8" s="189" t="s">
        <v>1303</v>
      </c>
      <c r="C8" s="171">
        <v>30023088</v>
      </c>
      <c r="D8" s="171">
        <v>30020661</v>
      </c>
      <c r="E8" s="168" t="s">
        <v>881</v>
      </c>
      <c r="F8" s="168" t="s">
        <v>10</v>
      </c>
      <c r="G8" s="168" t="s">
        <v>987</v>
      </c>
      <c r="H8" s="168" t="s">
        <v>336</v>
      </c>
      <c r="I8" s="168" t="s">
        <v>342</v>
      </c>
      <c r="J8" s="168" t="s">
        <v>324</v>
      </c>
      <c r="K8" s="168" t="s">
        <v>334</v>
      </c>
      <c r="L8" s="168">
        <v>20063388</v>
      </c>
      <c r="M8" s="168" t="s">
        <v>73</v>
      </c>
      <c r="N8" s="168" t="s">
        <v>884</v>
      </c>
      <c r="O8" s="168" t="s">
        <v>1302</v>
      </c>
      <c r="P8" s="168" t="s">
        <v>815</v>
      </c>
      <c r="Q8" s="168" t="s">
        <v>207</v>
      </c>
      <c r="R8" s="168" t="s">
        <v>1196</v>
      </c>
      <c r="S8" s="168" t="s">
        <v>881</v>
      </c>
      <c r="T8" s="168" t="s">
        <v>881</v>
      </c>
      <c r="U8" s="187"/>
    </row>
    <row r="9" spans="1:21" s="168" customFormat="1" ht="20.100000000000001" customHeight="1" x14ac:dyDescent="0.2">
      <c r="A9" s="188">
        <v>60021</v>
      </c>
      <c r="B9" s="189" t="s">
        <v>1304</v>
      </c>
      <c r="C9" s="171">
        <v>30023089</v>
      </c>
      <c r="D9" s="171">
        <v>30020662</v>
      </c>
      <c r="E9" s="168" t="s">
        <v>881</v>
      </c>
      <c r="F9" s="168" t="s">
        <v>10</v>
      </c>
      <c r="G9" s="168" t="s">
        <v>987</v>
      </c>
      <c r="H9" s="168" t="s">
        <v>628</v>
      </c>
      <c r="I9" s="168" t="s">
        <v>342</v>
      </c>
      <c r="J9" s="168" t="s">
        <v>324</v>
      </c>
      <c r="K9" s="168" t="s">
        <v>334</v>
      </c>
      <c r="L9" s="168">
        <v>20062248</v>
      </c>
      <c r="M9" s="168" t="s">
        <v>73</v>
      </c>
      <c r="N9" s="168" t="s">
        <v>79</v>
      </c>
      <c r="O9" s="168" t="s">
        <v>1305</v>
      </c>
      <c r="P9" s="168" t="s">
        <v>815</v>
      </c>
      <c r="Q9" s="168" t="s">
        <v>207</v>
      </c>
      <c r="R9" s="168" t="s">
        <v>1196</v>
      </c>
      <c r="S9" s="168" t="s">
        <v>881</v>
      </c>
      <c r="T9" s="168" t="s">
        <v>881</v>
      </c>
      <c r="U9" s="187"/>
    </row>
    <row r="10" spans="1:21" s="168" customFormat="1" ht="20.100000000000001" customHeight="1" x14ac:dyDescent="0.2">
      <c r="A10" s="188">
        <v>60022</v>
      </c>
      <c r="B10" s="189" t="s">
        <v>1306</v>
      </c>
      <c r="C10" s="171">
        <v>30023203</v>
      </c>
      <c r="D10" s="171">
        <v>30020663</v>
      </c>
      <c r="E10" s="168" t="s">
        <v>881</v>
      </c>
      <c r="F10" s="168" t="s">
        <v>10</v>
      </c>
      <c r="G10" s="168" t="s">
        <v>1070</v>
      </c>
      <c r="H10" s="168" t="s">
        <v>628</v>
      </c>
      <c r="I10" s="168" t="s">
        <v>517</v>
      </c>
      <c r="J10" s="168" t="s">
        <v>356</v>
      </c>
      <c r="K10" s="168" t="s">
        <v>334</v>
      </c>
      <c r="L10" s="168">
        <v>20062248</v>
      </c>
      <c r="M10" s="168" t="s">
        <v>73</v>
      </c>
      <c r="N10" s="168" t="s">
        <v>79</v>
      </c>
      <c r="O10" s="168" t="s">
        <v>1307</v>
      </c>
      <c r="P10" s="168" t="s">
        <v>815</v>
      </c>
      <c r="Q10" s="168" t="s">
        <v>207</v>
      </c>
      <c r="R10" s="168" t="s">
        <v>1196</v>
      </c>
      <c r="S10" s="168" t="s">
        <v>881</v>
      </c>
      <c r="T10" s="168" t="s">
        <v>881</v>
      </c>
      <c r="U10" s="187"/>
    </row>
    <row r="11" spans="1:21" s="168" customFormat="1" ht="20.100000000000001" customHeight="1" x14ac:dyDescent="0.2">
      <c r="A11" s="188">
        <v>60023</v>
      </c>
      <c r="B11" s="189" t="s">
        <v>1308</v>
      </c>
      <c r="C11" s="171">
        <v>30024272</v>
      </c>
      <c r="D11" s="171">
        <v>30020665</v>
      </c>
      <c r="E11" s="168" t="s">
        <v>881</v>
      </c>
      <c r="F11" s="168" t="s">
        <v>335</v>
      </c>
      <c r="G11" s="168" t="s">
        <v>1054</v>
      </c>
      <c r="H11" s="168" t="s">
        <v>628</v>
      </c>
      <c r="I11" s="168" t="s">
        <v>342</v>
      </c>
      <c r="J11" s="168" t="s">
        <v>324</v>
      </c>
      <c r="K11" s="168" t="s">
        <v>334</v>
      </c>
      <c r="L11" s="168">
        <v>20062282</v>
      </c>
      <c r="M11" s="168" t="s">
        <v>73</v>
      </c>
      <c r="N11" s="168" t="s">
        <v>1017</v>
      </c>
      <c r="O11" s="168" t="s">
        <v>1309</v>
      </c>
      <c r="P11" s="168" t="s">
        <v>815</v>
      </c>
      <c r="Q11" s="168" t="s">
        <v>207</v>
      </c>
      <c r="R11" s="168" t="s">
        <v>1196</v>
      </c>
      <c r="S11" s="168" t="s">
        <v>881</v>
      </c>
      <c r="T11" s="168" t="s">
        <v>881</v>
      </c>
      <c r="U11" s="187"/>
    </row>
    <row r="12" spans="1:21" ht="20.100000000000001" customHeight="1" x14ac:dyDescent="0.2">
      <c r="A12" s="74">
        <v>60025</v>
      </c>
      <c r="B12" s="179" t="s">
        <v>881</v>
      </c>
      <c r="C12" s="74">
        <v>30022962</v>
      </c>
      <c r="D12" s="74" t="s">
        <v>881</v>
      </c>
      <c r="E12" s="174" t="s">
        <v>881</v>
      </c>
      <c r="F12" s="174" t="s">
        <v>335</v>
      </c>
      <c r="G12" s="174" t="s">
        <v>1041</v>
      </c>
      <c r="H12" s="174" t="s">
        <v>330</v>
      </c>
      <c r="I12" s="174" t="s">
        <v>351</v>
      </c>
      <c r="J12" s="174" t="s">
        <v>37</v>
      </c>
      <c r="K12" s="174" t="s">
        <v>334</v>
      </c>
      <c r="L12" s="174">
        <v>20062458</v>
      </c>
      <c r="M12" s="185" t="s">
        <v>73</v>
      </c>
      <c r="N12" s="174" t="s">
        <v>255</v>
      </c>
      <c r="O12" s="174" t="s">
        <v>462</v>
      </c>
      <c r="P12" s="174" t="s">
        <v>461</v>
      </c>
      <c r="Q12" s="174" t="s">
        <v>412</v>
      </c>
      <c r="R12" s="174" t="s">
        <v>509</v>
      </c>
      <c r="S12" s="174" t="s">
        <v>881</v>
      </c>
      <c r="T12" s="174">
        <v>3</v>
      </c>
      <c r="U12" s="184"/>
    </row>
    <row r="13" spans="1:21" ht="20.100000000000001" customHeight="1" x14ac:dyDescent="0.2">
      <c r="A13" s="74">
        <v>60027</v>
      </c>
      <c r="B13" s="179" t="s">
        <v>881</v>
      </c>
      <c r="C13" s="74">
        <v>30023164</v>
      </c>
      <c r="D13" s="74" t="s">
        <v>881</v>
      </c>
      <c r="E13" s="174" t="s">
        <v>881</v>
      </c>
      <c r="F13" s="174" t="s">
        <v>335</v>
      </c>
      <c r="G13" s="174" t="s">
        <v>1047</v>
      </c>
      <c r="H13" s="174" t="s">
        <v>332</v>
      </c>
      <c r="I13" s="174" t="s">
        <v>553</v>
      </c>
      <c r="J13" s="174" t="s">
        <v>639</v>
      </c>
      <c r="K13" s="174" t="s">
        <v>334</v>
      </c>
      <c r="L13" s="174">
        <v>20063219</v>
      </c>
      <c r="M13" s="185" t="s">
        <v>73</v>
      </c>
      <c r="N13" s="174" t="s">
        <v>531</v>
      </c>
      <c r="O13" s="174" t="s">
        <v>388</v>
      </c>
      <c r="P13" s="174" t="s">
        <v>1496</v>
      </c>
      <c r="Q13" s="174" t="s">
        <v>406</v>
      </c>
      <c r="R13" s="174" t="s">
        <v>1196</v>
      </c>
      <c r="S13" s="174" t="s">
        <v>881</v>
      </c>
      <c r="T13" s="174">
        <v>4</v>
      </c>
      <c r="U13" s="184"/>
    </row>
    <row r="14" spans="1:21" ht="20.100000000000001" customHeight="1" x14ac:dyDescent="0.2">
      <c r="A14" s="74">
        <v>60028</v>
      </c>
      <c r="B14" s="179" t="s">
        <v>881</v>
      </c>
      <c r="C14" s="74">
        <v>30022773</v>
      </c>
      <c r="D14" s="74" t="s">
        <v>881</v>
      </c>
      <c r="E14" s="174" t="s">
        <v>881</v>
      </c>
      <c r="F14" s="174" t="s">
        <v>335</v>
      </c>
      <c r="G14" s="174" t="s">
        <v>1047</v>
      </c>
      <c r="H14" s="174" t="s">
        <v>329</v>
      </c>
      <c r="I14" s="174" t="s">
        <v>553</v>
      </c>
      <c r="J14" s="174" t="s">
        <v>639</v>
      </c>
      <c r="K14" s="174" t="s">
        <v>334</v>
      </c>
      <c r="L14" s="174">
        <v>20062207</v>
      </c>
      <c r="M14" s="174" t="s">
        <v>73</v>
      </c>
      <c r="N14" s="174" t="s">
        <v>531</v>
      </c>
      <c r="O14" s="174" t="s">
        <v>410</v>
      </c>
      <c r="P14" s="174" t="s">
        <v>1496</v>
      </c>
      <c r="Q14" s="174" t="s">
        <v>406</v>
      </c>
      <c r="R14" s="174" t="s">
        <v>1196</v>
      </c>
      <c r="S14" s="174" t="s">
        <v>881</v>
      </c>
      <c r="T14" s="174">
        <v>4</v>
      </c>
      <c r="U14" s="184"/>
    </row>
    <row r="15" spans="1:21" ht="20.100000000000001" customHeight="1" x14ac:dyDescent="0.2">
      <c r="A15" s="74">
        <v>60075</v>
      </c>
      <c r="B15" s="179" t="s">
        <v>881</v>
      </c>
      <c r="C15" s="74">
        <v>30022774</v>
      </c>
      <c r="D15" s="74" t="s">
        <v>881</v>
      </c>
      <c r="E15" s="174" t="s">
        <v>881</v>
      </c>
      <c r="F15" s="174" t="s">
        <v>21</v>
      </c>
      <c r="G15" s="174" t="s">
        <v>1058</v>
      </c>
      <c r="H15" s="174" t="s">
        <v>329</v>
      </c>
      <c r="I15" s="174" t="s">
        <v>354</v>
      </c>
      <c r="J15" s="174" t="s">
        <v>246</v>
      </c>
      <c r="K15" s="174" t="s">
        <v>334</v>
      </c>
      <c r="L15" s="174">
        <v>20062524</v>
      </c>
      <c r="M15" s="174" t="s">
        <v>73</v>
      </c>
      <c r="N15" s="174" t="s">
        <v>887</v>
      </c>
      <c r="O15" s="174" t="s">
        <v>362</v>
      </c>
      <c r="P15" s="174" t="s">
        <v>1508</v>
      </c>
      <c r="Q15" s="174" t="s">
        <v>384</v>
      </c>
      <c r="R15" s="174" t="s">
        <v>1196</v>
      </c>
      <c r="S15" s="174">
        <v>40058940</v>
      </c>
      <c r="T15" s="174">
        <v>2</v>
      </c>
      <c r="U15" s="184"/>
    </row>
    <row r="16" spans="1:21" ht="20.100000000000001" customHeight="1" x14ac:dyDescent="0.2">
      <c r="A16" s="74">
        <v>60077</v>
      </c>
      <c r="B16" s="179" t="s">
        <v>881</v>
      </c>
      <c r="C16" s="74">
        <v>30022221</v>
      </c>
      <c r="D16" s="74" t="s">
        <v>881</v>
      </c>
      <c r="E16" s="174" t="s">
        <v>881</v>
      </c>
      <c r="F16" s="174" t="s">
        <v>335</v>
      </c>
      <c r="G16" s="174" t="s">
        <v>1061</v>
      </c>
      <c r="H16" s="174" t="s">
        <v>329</v>
      </c>
      <c r="I16" s="174" t="s">
        <v>1454</v>
      </c>
      <c r="J16" s="174" t="s">
        <v>19</v>
      </c>
      <c r="K16" s="174" t="s">
        <v>96</v>
      </c>
      <c r="L16" s="174" t="s">
        <v>97</v>
      </c>
      <c r="M16" s="174" t="s">
        <v>97</v>
      </c>
      <c r="N16" s="174" t="s">
        <v>97</v>
      </c>
      <c r="O16" s="174" t="s">
        <v>363</v>
      </c>
      <c r="P16" s="174" t="s">
        <v>364</v>
      </c>
      <c r="Q16" s="174" t="s">
        <v>403</v>
      </c>
      <c r="R16" s="174" t="s">
        <v>1196</v>
      </c>
      <c r="S16" s="174" t="s">
        <v>881</v>
      </c>
      <c r="T16" s="174" t="s">
        <v>632</v>
      </c>
      <c r="U16" s="184"/>
    </row>
    <row r="17" spans="1:21" ht="20.100000000000001" customHeight="1" x14ac:dyDescent="0.2">
      <c r="A17" s="74">
        <v>60078</v>
      </c>
      <c r="B17" s="179" t="s">
        <v>881</v>
      </c>
      <c r="C17" s="74">
        <v>30022649</v>
      </c>
      <c r="D17" s="74" t="s">
        <v>881</v>
      </c>
      <c r="E17" s="174" t="s">
        <v>881</v>
      </c>
      <c r="F17" s="174" t="s">
        <v>335</v>
      </c>
      <c r="G17" s="174" t="s">
        <v>1046</v>
      </c>
      <c r="H17" s="174" t="s">
        <v>329</v>
      </c>
      <c r="I17" s="174" t="s">
        <v>511</v>
      </c>
      <c r="J17" s="174" t="s">
        <v>656</v>
      </c>
      <c r="K17" s="174" t="s">
        <v>334</v>
      </c>
      <c r="L17" s="174">
        <v>20062411</v>
      </c>
      <c r="M17" s="174" t="s">
        <v>73</v>
      </c>
      <c r="N17" s="174" t="s">
        <v>888</v>
      </c>
      <c r="O17" s="174" t="s">
        <v>411</v>
      </c>
      <c r="P17" s="174" t="s">
        <v>1496</v>
      </c>
      <c r="Q17" s="174" t="s">
        <v>406</v>
      </c>
      <c r="R17" s="174" t="s">
        <v>1196</v>
      </c>
      <c r="S17" s="174" t="s">
        <v>881</v>
      </c>
      <c r="T17" s="174">
        <v>4</v>
      </c>
      <c r="U17" s="184"/>
    </row>
    <row r="18" spans="1:21" s="168" customFormat="1" ht="20.100000000000001" customHeight="1" x14ac:dyDescent="0.2">
      <c r="A18" s="188">
        <v>60085</v>
      </c>
      <c r="B18" s="189" t="s">
        <v>1311</v>
      </c>
      <c r="C18" s="171">
        <v>30024164</v>
      </c>
      <c r="D18" s="171">
        <v>30021152</v>
      </c>
      <c r="E18" s="168" t="s">
        <v>881</v>
      </c>
      <c r="F18" s="168" t="s">
        <v>328</v>
      </c>
      <c r="G18" s="168" t="s">
        <v>1058</v>
      </c>
      <c r="H18" s="168" t="s">
        <v>329</v>
      </c>
      <c r="I18" s="168" t="s">
        <v>354</v>
      </c>
      <c r="J18" s="168" t="s">
        <v>246</v>
      </c>
      <c r="K18" s="168" t="s">
        <v>334</v>
      </c>
      <c r="L18" s="168">
        <v>20062527</v>
      </c>
      <c r="M18" s="168" t="s">
        <v>73</v>
      </c>
      <c r="N18" s="168" t="s">
        <v>655</v>
      </c>
      <c r="O18" s="168" t="s">
        <v>362</v>
      </c>
      <c r="P18" s="168" t="s">
        <v>1507</v>
      </c>
      <c r="Q18" s="168" t="s">
        <v>384</v>
      </c>
      <c r="R18" s="168" t="s">
        <v>1196</v>
      </c>
      <c r="S18" s="168" t="s">
        <v>881</v>
      </c>
      <c r="T18" s="168" t="s">
        <v>881</v>
      </c>
      <c r="U18" s="187"/>
    </row>
    <row r="19" spans="1:21" ht="20.100000000000001" customHeight="1" x14ac:dyDescent="0.2">
      <c r="A19" s="74">
        <v>60091</v>
      </c>
      <c r="B19" s="179" t="s">
        <v>881</v>
      </c>
      <c r="C19" s="74">
        <v>30022406</v>
      </c>
      <c r="D19" s="74" t="s">
        <v>881</v>
      </c>
      <c r="E19" s="174" t="s">
        <v>881</v>
      </c>
      <c r="F19" s="174" t="s">
        <v>335</v>
      </c>
      <c r="G19" s="174" t="s">
        <v>1045</v>
      </c>
      <c r="H19" s="174" t="s">
        <v>330</v>
      </c>
      <c r="I19" s="174" t="s">
        <v>342</v>
      </c>
      <c r="J19" s="174" t="s">
        <v>324</v>
      </c>
      <c r="K19" s="174" t="s">
        <v>334</v>
      </c>
      <c r="L19" s="174">
        <v>20062441</v>
      </c>
      <c r="M19" s="185" t="s">
        <v>73</v>
      </c>
      <c r="N19" s="174" t="s">
        <v>255</v>
      </c>
      <c r="O19" s="174" t="s">
        <v>463</v>
      </c>
      <c r="P19" s="174" t="s">
        <v>461</v>
      </c>
      <c r="Q19" s="174" t="s">
        <v>412</v>
      </c>
      <c r="R19" s="174" t="s">
        <v>509</v>
      </c>
      <c r="S19" s="174" t="s">
        <v>881</v>
      </c>
      <c r="T19" s="174">
        <v>3</v>
      </c>
      <c r="U19" s="184"/>
    </row>
    <row r="20" spans="1:21" ht="20.100000000000001" customHeight="1" x14ac:dyDescent="0.2">
      <c r="A20" s="74">
        <v>60092</v>
      </c>
      <c r="B20" s="179" t="s">
        <v>881</v>
      </c>
      <c r="C20" s="74">
        <v>30022898</v>
      </c>
      <c r="D20" s="74" t="s">
        <v>881</v>
      </c>
      <c r="E20" s="174" t="s">
        <v>881</v>
      </c>
      <c r="F20" s="174" t="s">
        <v>335</v>
      </c>
      <c r="G20" s="174" t="s">
        <v>987</v>
      </c>
      <c r="H20" s="174" t="s">
        <v>336</v>
      </c>
      <c r="I20" s="174" t="s">
        <v>606</v>
      </c>
      <c r="J20" s="174" t="s">
        <v>102</v>
      </c>
      <c r="K20" s="174" t="s">
        <v>334</v>
      </c>
      <c r="L20" s="174">
        <v>20062458</v>
      </c>
      <c r="M20" s="185" t="s">
        <v>73</v>
      </c>
      <c r="N20" s="174" t="s">
        <v>255</v>
      </c>
      <c r="O20" s="174" t="s">
        <v>464</v>
      </c>
      <c r="P20" s="174" t="s">
        <v>461</v>
      </c>
      <c r="Q20" s="174" t="s">
        <v>412</v>
      </c>
      <c r="R20" s="174" t="s">
        <v>509</v>
      </c>
      <c r="S20" s="174" t="s">
        <v>881</v>
      </c>
      <c r="T20" s="174">
        <v>3</v>
      </c>
      <c r="U20" s="184"/>
    </row>
    <row r="21" spans="1:21" ht="20.100000000000001" customHeight="1" x14ac:dyDescent="0.2">
      <c r="A21" s="74">
        <v>60093</v>
      </c>
      <c r="B21" s="179" t="s">
        <v>881</v>
      </c>
      <c r="C21" s="74">
        <v>30023316</v>
      </c>
      <c r="D21" s="74" t="s">
        <v>881</v>
      </c>
      <c r="E21" s="174" t="s">
        <v>881</v>
      </c>
      <c r="F21" s="174" t="s">
        <v>335</v>
      </c>
      <c r="G21" s="153" t="s">
        <v>1004</v>
      </c>
      <c r="H21" s="174" t="s">
        <v>336</v>
      </c>
      <c r="I21" s="174" t="s">
        <v>342</v>
      </c>
      <c r="J21" s="174" t="s">
        <v>324</v>
      </c>
      <c r="K21" s="174" t="s">
        <v>334</v>
      </c>
      <c r="L21" s="174">
        <v>20062441</v>
      </c>
      <c r="M21" s="185" t="s">
        <v>73</v>
      </c>
      <c r="N21" s="174" t="s">
        <v>255</v>
      </c>
      <c r="O21" s="174" t="s">
        <v>463</v>
      </c>
      <c r="P21" s="174" t="s">
        <v>461</v>
      </c>
      <c r="Q21" s="174" t="s">
        <v>412</v>
      </c>
      <c r="R21" s="174" t="s">
        <v>509</v>
      </c>
      <c r="S21" s="174" t="s">
        <v>881</v>
      </c>
      <c r="T21" s="174">
        <v>3</v>
      </c>
      <c r="U21" s="184"/>
    </row>
    <row r="22" spans="1:21" ht="20.100000000000001" customHeight="1" x14ac:dyDescent="0.2">
      <c r="A22" s="74">
        <v>60094</v>
      </c>
      <c r="B22" s="179" t="s">
        <v>881</v>
      </c>
      <c r="C22" s="74">
        <v>30022961</v>
      </c>
      <c r="D22" s="74" t="s">
        <v>881</v>
      </c>
      <c r="E22" s="174" t="s">
        <v>881</v>
      </c>
      <c r="F22" s="174" t="s">
        <v>335</v>
      </c>
      <c r="G22" s="153" t="s">
        <v>1004</v>
      </c>
      <c r="H22" s="174" t="s">
        <v>330</v>
      </c>
      <c r="I22" s="174" t="s">
        <v>517</v>
      </c>
      <c r="J22" s="174" t="s">
        <v>356</v>
      </c>
      <c r="K22" s="174" t="s">
        <v>334</v>
      </c>
      <c r="L22" s="174">
        <v>20062441</v>
      </c>
      <c r="M22" s="185" t="s">
        <v>73</v>
      </c>
      <c r="N22" s="174" t="s">
        <v>255</v>
      </c>
      <c r="O22" s="174" t="s">
        <v>463</v>
      </c>
      <c r="P22" s="174" t="s">
        <v>461</v>
      </c>
      <c r="Q22" s="174" t="s">
        <v>412</v>
      </c>
      <c r="R22" s="174" t="s">
        <v>509</v>
      </c>
      <c r="S22" s="174" t="s">
        <v>881</v>
      </c>
      <c r="T22" s="174">
        <v>3</v>
      </c>
      <c r="U22" s="184"/>
    </row>
    <row r="23" spans="1:21" ht="20.100000000000001" customHeight="1" x14ac:dyDescent="0.2">
      <c r="A23" s="74">
        <v>60095</v>
      </c>
      <c r="B23" s="179" t="s">
        <v>881</v>
      </c>
      <c r="C23" s="74">
        <v>30023901</v>
      </c>
      <c r="D23" s="74" t="s">
        <v>881</v>
      </c>
      <c r="E23" s="174" t="s">
        <v>617</v>
      </c>
      <c r="F23" s="174" t="s">
        <v>335</v>
      </c>
      <c r="G23" s="174" t="s">
        <v>1046</v>
      </c>
      <c r="H23" s="174" t="s">
        <v>329</v>
      </c>
      <c r="I23" s="174" t="s">
        <v>348</v>
      </c>
      <c r="J23" s="174" t="s">
        <v>349</v>
      </c>
      <c r="K23" s="174" t="s">
        <v>334</v>
      </c>
      <c r="L23" s="174">
        <v>20060376</v>
      </c>
      <c r="M23" s="185" t="s">
        <v>73</v>
      </c>
      <c r="N23" s="174" t="s">
        <v>889</v>
      </c>
      <c r="O23" s="174" t="s">
        <v>398</v>
      </c>
      <c r="P23" s="174" t="s">
        <v>399</v>
      </c>
      <c r="Q23" s="174" t="s">
        <v>207</v>
      </c>
      <c r="R23" s="174" t="s">
        <v>1196</v>
      </c>
      <c r="S23" s="174" t="s">
        <v>881</v>
      </c>
      <c r="T23" s="174" t="s">
        <v>633</v>
      </c>
      <c r="U23" s="184"/>
    </row>
    <row r="24" spans="1:21" s="182" customFormat="1" ht="20.100000000000001" customHeight="1" x14ac:dyDescent="0.2">
      <c r="A24" s="192">
        <v>60097</v>
      </c>
      <c r="B24" s="193" t="s">
        <v>1312</v>
      </c>
      <c r="C24" s="194">
        <v>30024309</v>
      </c>
      <c r="D24" s="194">
        <v>30021119</v>
      </c>
      <c r="E24" s="182" t="s">
        <v>881</v>
      </c>
      <c r="F24" s="182" t="s">
        <v>328</v>
      </c>
      <c r="G24" s="182" t="s">
        <v>1058</v>
      </c>
      <c r="H24" s="182" t="s">
        <v>329</v>
      </c>
      <c r="I24" s="182" t="s">
        <v>348</v>
      </c>
      <c r="J24" s="182" t="s">
        <v>349</v>
      </c>
      <c r="K24" s="182" t="s">
        <v>334</v>
      </c>
      <c r="L24" s="182">
        <v>20062529</v>
      </c>
      <c r="M24" s="182" t="s">
        <v>73</v>
      </c>
      <c r="N24" s="182" t="s">
        <v>655</v>
      </c>
      <c r="O24" s="182" t="s">
        <v>1299</v>
      </c>
      <c r="P24" s="182" t="s">
        <v>1511</v>
      </c>
      <c r="Q24" s="182" t="s">
        <v>406</v>
      </c>
      <c r="R24" s="182" t="s">
        <v>1196</v>
      </c>
      <c r="S24" s="182" t="s">
        <v>881</v>
      </c>
      <c r="T24" s="182" t="s">
        <v>881</v>
      </c>
      <c r="U24" s="195"/>
    </row>
    <row r="25" spans="1:21" ht="20.100000000000001" customHeight="1" x14ac:dyDescent="0.2">
      <c r="A25" s="74">
        <v>60100</v>
      </c>
      <c r="B25" s="179" t="s">
        <v>881</v>
      </c>
      <c r="C25" s="74">
        <v>30023092</v>
      </c>
      <c r="D25" s="74" t="s">
        <v>881</v>
      </c>
      <c r="E25" s="174" t="s">
        <v>881</v>
      </c>
      <c r="F25" s="174" t="s">
        <v>21</v>
      </c>
      <c r="G25" s="174" t="s">
        <v>1058</v>
      </c>
      <c r="H25" s="174" t="s">
        <v>329</v>
      </c>
      <c r="I25" s="174" t="s">
        <v>354</v>
      </c>
      <c r="J25" s="174" t="s">
        <v>246</v>
      </c>
      <c r="K25" s="174" t="s">
        <v>334</v>
      </c>
      <c r="L25" s="174">
        <v>20063544</v>
      </c>
      <c r="M25" s="174" t="s">
        <v>73</v>
      </c>
      <c r="N25" s="174" t="s">
        <v>887</v>
      </c>
      <c r="O25" s="174" t="s">
        <v>365</v>
      </c>
      <c r="P25" s="174" t="s">
        <v>1508</v>
      </c>
      <c r="Q25" s="174" t="s">
        <v>384</v>
      </c>
      <c r="R25" s="174" t="s">
        <v>1196</v>
      </c>
      <c r="S25" s="174" t="s">
        <v>881</v>
      </c>
      <c r="T25" s="174">
        <v>2</v>
      </c>
      <c r="U25" s="184"/>
    </row>
    <row r="26" spans="1:21" ht="20.100000000000001" customHeight="1" x14ac:dyDescent="0.2">
      <c r="A26" s="74">
        <v>60101</v>
      </c>
      <c r="B26" s="179" t="s">
        <v>881</v>
      </c>
      <c r="C26" s="74">
        <v>30022262</v>
      </c>
      <c r="D26" s="74" t="s">
        <v>881</v>
      </c>
      <c r="E26" s="174" t="s">
        <v>881</v>
      </c>
      <c r="F26" s="174" t="s">
        <v>335</v>
      </c>
      <c r="G26" s="174" t="s">
        <v>1047</v>
      </c>
      <c r="H26" s="174" t="s">
        <v>329</v>
      </c>
      <c r="I26" s="174" t="s">
        <v>541</v>
      </c>
      <c r="J26" s="174" t="s">
        <v>648</v>
      </c>
      <c r="K26" s="174" t="s">
        <v>334</v>
      </c>
      <c r="L26" s="174">
        <v>20063219</v>
      </c>
      <c r="M26" s="174" t="s">
        <v>73</v>
      </c>
      <c r="N26" s="174" t="s">
        <v>684</v>
      </c>
      <c r="O26" s="174" t="s">
        <v>388</v>
      </c>
      <c r="P26" s="174" t="s">
        <v>1496</v>
      </c>
      <c r="Q26" s="174" t="s">
        <v>406</v>
      </c>
      <c r="R26" s="174" t="s">
        <v>1196</v>
      </c>
      <c r="S26" s="174" t="s">
        <v>881</v>
      </c>
      <c r="T26" s="174">
        <v>4</v>
      </c>
      <c r="U26" s="184"/>
    </row>
    <row r="27" spans="1:21" ht="20.100000000000001" customHeight="1" x14ac:dyDescent="0.2">
      <c r="A27" s="74">
        <v>60103</v>
      </c>
      <c r="B27" s="179" t="s">
        <v>881</v>
      </c>
      <c r="C27" s="74">
        <v>30022552</v>
      </c>
      <c r="D27" s="74" t="s">
        <v>881</v>
      </c>
      <c r="E27" s="174" t="s">
        <v>881</v>
      </c>
      <c r="F27" s="174" t="s">
        <v>335</v>
      </c>
      <c r="G27" s="174" t="s">
        <v>1047</v>
      </c>
      <c r="H27" s="174" t="s">
        <v>332</v>
      </c>
      <c r="I27" s="174" t="s">
        <v>541</v>
      </c>
      <c r="J27" s="174" t="s">
        <v>648</v>
      </c>
      <c r="K27" s="174" t="s">
        <v>334</v>
      </c>
      <c r="L27" s="174">
        <v>20063219</v>
      </c>
      <c r="M27" s="174" t="s">
        <v>73</v>
      </c>
      <c r="N27" s="174" t="s">
        <v>684</v>
      </c>
      <c r="O27" s="174" t="s">
        <v>388</v>
      </c>
      <c r="P27" s="174" t="s">
        <v>1496</v>
      </c>
      <c r="Q27" s="174" t="s">
        <v>406</v>
      </c>
      <c r="R27" s="174" t="s">
        <v>1196</v>
      </c>
      <c r="S27" s="174" t="s">
        <v>881</v>
      </c>
      <c r="T27" s="174">
        <v>4</v>
      </c>
      <c r="U27" s="184"/>
    </row>
    <row r="28" spans="1:21" ht="20.100000000000001" customHeight="1" x14ac:dyDescent="0.2">
      <c r="A28" s="74">
        <v>60106</v>
      </c>
      <c r="B28" s="179" t="s">
        <v>881</v>
      </c>
      <c r="C28" s="74">
        <v>30024273</v>
      </c>
      <c r="D28" s="74" t="s">
        <v>881</v>
      </c>
      <c r="E28" s="174" t="s">
        <v>617</v>
      </c>
      <c r="F28" s="174" t="s">
        <v>335</v>
      </c>
      <c r="G28" s="174" t="s">
        <v>1045</v>
      </c>
      <c r="H28" s="174" t="s">
        <v>330</v>
      </c>
      <c r="I28" s="174" t="s">
        <v>342</v>
      </c>
      <c r="J28" s="174" t="s">
        <v>324</v>
      </c>
      <c r="K28" s="174" t="s">
        <v>334</v>
      </c>
      <c r="L28" s="174">
        <v>20062447</v>
      </c>
      <c r="M28" s="185" t="s">
        <v>73</v>
      </c>
      <c r="N28" s="174" t="s">
        <v>881</v>
      </c>
      <c r="O28" s="174" t="s">
        <v>664</v>
      </c>
      <c r="P28" s="174" t="s">
        <v>382</v>
      </c>
      <c r="Q28" s="174" t="s">
        <v>412</v>
      </c>
      <c r="R28" s="174" t="s">
        <v>1196</v>
      </c>
      <c r="S28" s="174" t="s">
        <v>881</v>
      </c>
      <c r="T28" s="174">
        <v>3</v>
      </c>
      <c r="U28" s="184"/>
    </row>
    <row r="29" spans="1:21" ht="20.100000000000001" customHeight="1" x14ac:dyDescent="0.2">
      <c r="A29" s="74">
        <v>60107</v>
      </c>
      <c r="B29" s="179" t="s">
        <v>881</v>
      </c>
      <c r="C29" s="74">
        <v>30024433</v>
      </c>
      <c r="D29" s="74" t="s">
        <v>881</v>
      </c>
      <c r="E29" s="174" t="s">
        <v>617</v>
      </c>
      <c r="F29" s="174" t="s">
        <v>687</v>
      </c>
      <c r="G29" s="174" t="s">
        <v>987</v>
      </c>
      <c r="H29" s="174" t="s">
        <v>330</v>
      </c>
      <c r="I29" s="174" t="s">
        <v>342</v>
      </c>
      <c r="J29" s="174" t="s">
        <v>324</v>
      </c>
      <c r="K29" s="174" t="s">
        <v>334</v>
      </c>
      <c r="L29" s="174">
        <v>20062447</v>
      </c>
      <c r="M29" s="185" t="s">
        <v>73</v>
      </c>
      <c r="N29" s="174" t="s">
        <v>881</v>
      </c>
      <c r="O29" s="174" t="s">
        <v>664</v>
      </c>
      <c r="P29" s="174" t="s">
        <v>382</v>
      </c>
      <c r="Q29" s="174" t="s">
        <v>412</v>
      </c>
      <c r="R29" s="174" t="s">
        <v>1196</v>
      </c>
      <c r="S29" s="174" t="s">
        <v>881</v>
      </c>
      <c r="T29" s="174">
        <v>3</v>
      </c>
      <c r="U29" s="184"/>
    </row>
    <row r="30" spans="1:21" ht="20.100000000000001" customHeight="1" x14ac:dyDescent="0.2">
      <c r="A30" s="74">
        <v>60108</v>
      </c>
      <c r="B30" s="179" t="s">
        <v>881</v>
      </c>
      <c r="C30" s="74">
        <v>30024274</v>
      </c>
      <c r="D30" s="74" t="s">
        <v>881</v>
      </c>
      <c r="E30" s="174" t="s">
        <v>870</v>
      </c>
      <c r="F30" s="174" t="s">
        <v>335</v>
      </c>
      <c r="G30" s="174" t="s">
        <v>1041</v>
      </c>
      <c r="H30" s="174" t="s">
        <v>330</v>
      </c>
      <c r="I30" s="174" t="s">
        <v>342</v>
      </c>
      <c r="J30" s="174" t="s">
        <v>324</v>
      </c>
      <c r="K30" s="174" t="s">
        <v>334</v>
      </c>
      <c r="L30" s="174" t="s">
        <v>621</v>
      </c>
      <c r="M30" s="185" t="s">
        <v>73</v>
      </c>
      <c r="N30" s="174" t="s">
        <v>881</v>
      </c>
      <c r="O30" s="174" t="s">
        <v>522</v>
      </c>
      <c r="P30" s="174" t="s">
        <v>382</v>
      </c>
      <c r="Q30" s="174" t="s">
        <v>412</v>
      </c>
      <c r="R30" s="174" t="s">
        <v>1196</v>
      </c>
      <c r="S30" s="174">
        <v>40056401</v>
      </c>
      <c r="T30" s="174">
        <v>3</v>
      </c>
      <c r="U30" s="184"/>
    </row>
    <row r="31" spans="1:21" ht="20.100000000000001" customHeight="1" x14ac:dyDescent="0.2">
      <c r="A31" s="74">
        <v>60109</v>
      </c>
      <c r="B31" s="179" t="s">
        <v>881</v>
      </c>
      <c r="C31" s="74">
        <v>30024094</v>
      </c>
      <c r="D31" s="74" t="s">
        <v>881</v>
      </c>
      <c r="E31" s="174" t="s">
        <v>617</v>
      </c>
      <c r="F31" s="174" t="s">
        <v>335</v>
      </c>
      <c r="G31" s="153" t="s">
        <v>1004</v>
      </c>
      <c r="H31" s="174" t="s">
        <v>336</v>
      </c>
      <c r="I31" s="174" t="s">
        <v>606</v>
      </c>
      <c r="J31" s="174" t="s">
        <v>607</v>
      </c>
      <c r="K31" s="174" t="s">
        <v>334</v>
      </c>
      <c r="L31" s="174">
        <v>20062447</v>
      </c>
      <c r="M31" s="185" t="s">
        <v>73</v>
      </c>
      <c r="N31" s="174" t="s">
        <v>608</v>
      </c>
      <c r="O31" s="174" t="s">
        <v>609</v>
      </c>
      <c r="P31" s="174" t="s">
        <v>382</v>
      </c>
      <c r="Q31" s="174" t="s">
        <v>412</v>
      </c>
      <c r="R31" s="174" t="s">
        <v>1196</v>
      </c>
      <c r="S31" s="174">
        <v>40056401</v>
      </c>
      <c r="T31" s="174">
        <v>3</v>
      </c>
      <c r="U31" s="184"/>
    </row>
    <row r="32" spans="1:21" ht="20.100000000000001" customHeight="1" x14ac:dyDescent="0.2">
      <c r="A32" s="74">
        <v>60111</v>
      </c>
      <c r="B32" s="179" t="s">
        <v>881</v>
      </c>
      <c r="C32" s="74">
        <v>30024095</v>
      </c>
      <c r="D32" s="74" t="s">
        <v>881</v>
      </c>
      <c r="E32" s="174" t="s">
        <v>870</v>
      </c>
      <c r="F32" s="174" t="s">
        <v>335</v>
      </c>
      <c r="G32" s="174" t="s">
        <v>987</v>
      </c>
      <c r="H32" s="174" t="s">
        <v>330</v>
      </c>
      <c r="I32" s="174" t="s">
        <v>517</v>
      </c>
      <c r="J32" s="174" t="s">
        <v>356</v>
      </c>
      <c r="K32" s="174" t="s">
        <v>334</v>
      </c>
      <c r="L32" s="174" t="s">
        <v>621</v>
      </c>
      <c r="M32" s="185" t="s">
        <v>73</v>
      </c>
      <c r="N32" s="174" t="s">
        <v>881</v>
      </c>
      <c r="O32" s="174" t="s">
        <v>622</v>
      </c>
      <c r="P32" s="174" t="s">
        <v>382</v>
      </c>
      <c r="Q32" s="174" t="s">
        <v>412</v>
      </c>
      <c r="R32" s="174" t="s">
        <v>1196</v>
      </c>
      <c r="S32" s="174">
        <v>40056401</v>
      </c>
      <c r="T32" s="174">
        <v>3</v>
      </c>
      <c r="U32" s="184"/>
    </row>
    <row r="33" spans="1:21" ht="20.100000000000001" customHeight="1" x14ac:dyDescent="0.2">
      <c r="A33" s="74">
        <v>60112</v>
      </c>
      <c r="B33" s="179" t="s">
        <v>881</v>
      </c>
      <c r="C33" s="74">
        <v>30024096</v>
      </c>
      <c r="D33" s="74" t="s">
        <v>881</v>
      </c>
      <c r="E33" s="174" t="s">
        <v>617</v>
      </c>
      <c r="F33" s="174" t="s">
        <v>335</v>
      </c>
      <c r="G33" s="153" t="s">
        <v>1004</v>
      </c>
      <c r="H33" s="174" t="s">
        <v>330</v>
      </c>
      <c r="I33" s="174" t="s">
        <v>618</v>
      </c>
      <c r="J33" s="174" t="s">
        <v>619</v>
      </c>
      <c r="K33" s="174" t="s">
        <v>334</v>
      </c>
      <c r="L33" s="174">
        <v>20062447</v>
      </c>
      <c r="M33" s="185" t="s">
        <v>73</v>
      </c>
      <c r="N33" s="174" t="s">
        <v>881</v>
      </c>
      <c r="O33" s="174" t="s">
        <v>609</v>
      </c>
      <c r="P33" s="174" t="s">
        <v>382</v>
      </c>
      <c r="Q33" s="174" t="s">
        <v>412</v>
      </c>
      <c r="R33" s="174" t="s">
        <v>1196</v>
      </c>
      <c r="S33" s="174">
        <v>40056401</v>
      </c>
      <c r="T33" s="174">
        <v>3</v>
      </c>
      <c r="U33" s="184"/>
    </row>
    <row r="34" spans="1:21" ht="20.100000000000001" customHeight="1" x14ac:dyDescent="0.2">
      <c r="A34" s="74">
        <v>60117</v>
      </c>
      <c r="B34" s="179" t="s">
        <v>881</v>
      </c>
      <c r="C34" s="74">
        <v>30022611</v>
      </c>
      <c r="D34" s="74" t="s">
        <v>881</v>
      </c>
      <c r="E34" s="174" t="s">
        <v>871</v>
      </c>
      <c r="F34" s="174" t="s">
        <v>335</v>
      </c>
      <c r="G34" s="174" t="s">
        <v>1041</v>
      </c>
      <c r="H34" s="174" t="s">
        <v>330</v>
      </c>
      <c r="I34" s="174" t="s">
        <v>342</v>
      </c>
      <c r="J34" s="174" t="s">
        <v>324</v>
      </c>
      <c r="K34" s="174" t="s">
        <v>334</v>
      </c>
      <c r="L34" s="174">
        <v>20063241</v>
      </c>
      <c r="M34" s="185" t="s">
        <v>73</v>
      </c>
      <c r="N34" s="174" t="s">
        <v>634</v>
      </c>
      <c r="O34" s="174" t="s">
        <v>381</v>
      </c>
      <c r="P34" s="174" t="s">
        <v>386</v>
      </c>
      <c r="Q34" s="174" t="s">
        <v>412</v>
      </c>
      <c r="R34" s="174" t="s">
        <v>509</v>
      </c>
      <c r="S34" s="174">
        <v>40057143</v>
      </c>
      <c r="T34" s="174">
        <v>3</v>
      </c>
      <c r="U34" s="184"/>
    </row>
    <row r="35" spans="1:21" ht="20.100000000000001" customHeight="1" x14ac:dyDescent="0.2">
      <c r="A35" s="74">
        <v>60120</v>
      </c>
      <c r="B35" s="179" t="s">
        <v>881</v>
      </c>
      <c r="C35" s="74">
        <v>30024097</v>
      </c>
      <c r="D35" s="74" t="s">
        <v>881</v>
      </c>
      <c r="E35" s="174" t="s">
        <v>870</v>
      </c>
      <c r="F35" s="174" t="s">
        <v>604</v>
      </c>
      <c r="G35" s="174" t="s">
        <v>1041</v>
      </c>
      <c r="H35" s="174" t="s">
        <v>330</v>
      </c>
      <c r="I35" s="174" t="s">
        <v>342</v>
      </c>
      <c r="J35" s="174" t="s">
        <v>324</v>
      </c>
      <c r="K35" s="174" t="s">
        <v>334</v>
      </c>
      <c r="L35" s="174">
        <v>20062665</v>
      </c>
      <c r="M35" s="185" t="s">
        <v>73</v>
      </c>
      <c r="N35" s="174" t="s">
        <v>634</v>
      </c>
      <c r="O35" s="174" t="s">
        <v>649</v>
      </c>
      <c r="P35" s="174" t="s">
        <v>386</v>
      </c>
      <c r="Q35" s="174" t="s">
        <v>412</v>
      </c>
      <c r="R35" s="174" t="s">
        <v>509</v>
      </c>
      <c r="S35" s="174">
        <v>40057149</v>
      </c>
      <c r="T35" s="174">
        <v>3</v>
      </c>
      <c r="U35" s="184"/>
    </row>
    <row r="36" spans="1:21" ht="20.100000000000001" customHeight="1" x14ac:dyDescent="0.2">
      <c r="A36" s="74">
        <v>60126</v>
      </c>
      <c r="B36" s="179" t="s">
        <v>881</v>
      </c>
      <c r="C36" s="74">
        <v>30024341</v>
      </c>
      <c r="D36" s="74" t="s">
        <v>881</v>
      </c>
      <c r="E36" s="174" t="s">
        <v>617</v>
      </c>
      <c r="F36" s="174" t="s">
        <v>335</v>
      </c>
      <c r="G36" s="174" t="s">
        <v>987</v>
      </c>
      <c r="H36" s="174" t="s">
        <v>330</v>
      </c>
      <c r="I36" s="174" t="s">
        <v>351</v>
      </c>
      <c r="J36" s="174" t="s">
        <v>37</v>
      </c>
      <c r="K36" s="174" t="s">
        <v>334</v>
      </c>
      <c r="L36" s="174">
        <v>20062458</v>
      </c>
      <c r="M36" s="185" t="s">
        <v>73</v>
      </c>
      <c r="N36" s="174" t="s">
        <v>634</v>
      </c>
      <c r="O36" s="174" t="s">
        <v>420</v>
      </c>
      <c r="P36" s="174" t="s">
        <v>386</v>
      </c>
      <c r="Q36" s="174" t="s">
        <v>412</v>
      </c>
      <c r="R36" s="174" t="s">
        <v>509</v>
      </c>
      <c r="S36" s="174" t="s">
        <v>881</v>
      </c>
      <c r="T36" s="174">
        <v>3</v>
      </c>
      <c r="U36" s="184"/>
    </row>
    <row r="37" spans="1:21" ht="20.100000000000001" customHeight="1" x14ac:dyDescent="0.2">
      <c r="A37" s="74">
        <v>60128</v>
      </c>
      <c r="B37" s="179" t="s">
        <v>881</v>
      </c>
      <c r="C37" s="74">
        <v>30023902</v>
      </c>
      <c r="D37" s="74" t="s">
        <v>881</v>
      </c>
      <c r="E37" s="174" t="s">
        <v>870</v>
      </c>
      <c r="F37" s="174" t="s">
        <v>335</v>
      </c>
      <c r="G37" s="153" t="s">
        <v>1004</v>
      </c>
      <c r="H37" s="174" t="s">
        <v>330</v>
      </c>
      <c r="I37" s="174" t="s">
        <v>342</v>
      </c>
      <c r="J37" s="174" t="s">
        <v>324</v>
      </c>
      <c r="K37" s="174" t="s">
        <v>881</v>
      </c>
      <c r="L37" s="174" t="s">
        <v>881</v>
      </c>
      <c r="M37" s="185" t="s">
        <v>882</v>
      </c>
      <c r="N37" s="174" t="s">
        <v>881</v>
      </c>
      <c r="O37" s="174" t="s">
        <v>522</v>
      </c>
      <c r="P37" s="174" t="s">
        <v>382</v>
      </c>
      <c r="Q37" s="174" t="s">
        <v>412</v>
      </c>
      <c r="R37" s="174" t="s">
        <v>1196</v>
      </c>
      <c r="S37" s="174" t="s">
        <v>881</v>
      </c>
      <c r="T37" s="174">
        <v>3</v>
      </c>
      <c r="U37" s="184"/>
    </row>
    <row r="38" spans="1:21" ht="20.100000000000001" customHeight="1" x14ac:dyDescent="0.2">
      <c r="A38" s="74">
        <v>60138</v>
      </c>
      <c r="B38" s="179" t="s">
        <v>881</v>
      </c>
      <c r="C38" s="74">
        <v>30024098</v>
      </c>
      <c r="D38" s="74" t="s">
        <v>881</v>
      </c>
      <c r="E38" s="174" t="s">
        <v>870</v>
      </c>
      <c r="F38" s="174" t="s">
        <v>604</v>
      </c>
      <c r="G38" s="174" t="s">
        <v>987</v>
      </c>
      <c r="H38" s="174" t="s">
        <v>336</v>
      </c>
      <c r="I38" s="174" t="s">
        <v>342</v>
      </c>
      <c r="J38" s="174" t="s">
        <v>324</v>
      </c>
      <c r="K38" s="174" t="s">
        <v>334</v>
      </c>
      <c r="L38" s="174">
        <v>20062665</v>
      </c>
      <c r="M38" s="185" t="s">
        <v>73</v>
      </c>
      <c r="N38" s="174" t="s">
        <v>634</v>
      </c>
      <c r="O38" s="174" t="s">
        <v>649</v>
      </c>
      <c r="P38" s="174" t="s">
        <v>386</v>
      </c>
      <c r="Q38" s="174" t="s">
        <v>412</v>
      </c>
      <c r="R38" s="174" t="s">
        <v>509</v>
      </c>
      <c r="S38" s="174">
        <v>40057149</v>
      </c>
      <c r="T38" s="174">
        <v>3</v>
      </c>
      <c r="U38" s="184"/>
    </row>
    <row r="39" spans="1:21" ht="20.100000000000001" customHeight="1" x14ac:dyDescent="0.2">
      <c r="A39" s="74">
        <v>60142</v>
      </c>
      <c r="B39" s="179" t="s">
        <v>881</v>
      </c>
      <c r="C39" s="74">
        <v>30024099</v>
      </c>
      <c r="D39" s="74" t="s">
        <v>881</v>
      </c>
      <c r="E39" s="174" t="s">
        <v>617</v>
      </c>
      <c r="F39" s="174" t="s">
        <v>671</v>
      </c>
      <c r="G39" s="174" t="s">
        <v>1051</v>
      </c>
      <c r="H39" s="174" t="s">
        <v>332</v>
      </c>
      <c r="I39" s="174" t="s">
        <v>541</v>
      </c>
      <c r="J39" s="174" t="s">
        <v>648</v>
      </c>
      <c r="K39" s="174" t="s">
        <v>334</v>
      </c>
      <c r="L39" s="174">
        <v>20062393</v>
      </c>
      <c r="M39" s="185" t="s">
        <v>73</v>
      </c>
      <c r="N39" s="174" t="s">
        <v>683</v>
      </c>
      <c r="O39" s="174" t="s">
        <v>388</v>
      </c>
      <c r="P39" s="174" t="s">
        <v>1496</v>
      </c>
      <c r="Q39" s="174" t="s">
        <v>406</v>
      </c>
      <c r="R39" s="174" t="s">
        <v>1196</v>
      </c>
      <c r="S39" s="174" t="s">
        <v>881</v>
      </c>
      <c r="T39" s="174">
        <v>4</v>
      </c>
      <c r="U39" s="184"/>
    </row>
    <row r="40" spans="1:21" s="182" customFormat="1" ht="20.100000000000001" customHeight="1" x14ac:dyDescent="0.2">
      <c r="A40" s="192">
        <v>60149</v>
      </c>
      <c r="B40" s="193" t="s">
        <v>1313</v>
      </c>
      <c r="C40" s="194">
        <v>30023903</v>
      </c>
      <c r="D40" s="194">
        <v>30021129</v>
      </c>
      <c r="E40" s="182" t="s">
        <v>881</v>
      </c>
      <c r="F40" s="182" t="s">
        <v>335</v>
      </c>
      <c r="G40" s="182" t="s">
        <v>1058</v>
      </c>
      <c r="H40" s="182" t="s">
        <v>329</v>
      </c>
      <c r="I40" s="182" t="s">
        <v>348</v>
      </c>
      <c r="J40" s="182" t="s">
        <v>349</v>
      </c>
      <c r="K40" s="182" t="s">
        <v>334</v>
      </c>
      <c r="L40" s="182">
        <v>20062778</v>
      </c>
      <c r="M40" s="182" t="s">
        <v>73</v>
      </c>
      <c r="N40" s="182" t="s">
        <v>339</v>
      </c>
      <c r="O40" s="182" t="s">
        <v>398</v>
      </c>
      <c r="P40" s="182" t="s">
        <v>399</v>
      </c>
      <c r="Q40" s="182" t="s">
        <v>207</v>
      </c>
      <c r="R40" s="196" t="s">
        <v>1196</v>
      </c>
      <c r="S40" s="182" t="s">
        <v>881</v>
      </c>
      <c r="T40" s="182" t="s">
        <v>881</v>
      </c>
      <c r="U40" s="195"/>
    </row>
    <row r="41" spans="1:21" ht="20.100000000000001" customHeight="1" x14ac:dyDescent="0.2">
      <c r="A41" s="74">
        <v>60150</v>
      </c>
      <c r="B41" s="179" t="s">
        <v>881</v>
      </c>
      <c r="C41" s="74">
        <v>30023093</v>
      </c>
      <c r="D41" s="74" t="s">
        <v>881</v>
      </c>
      <c r="E41" s="174" t="s">
        <v>881</v>
      </c>
      <c r="F41" s="174" t="s">
        <v>335</v>
      </c>
      <c r="G41" s="174" t="s">
        <v>987</v>
      </c>
      <c r="H41" s="174" t="s">
        <v>332</v>
      </c>
      <c r="I41" s="174" t="s">
        <v>519</v>
      </c>
      <c r="J41" s="174" t="s">
        <v>101</v>
      </c>
      <c r="K41" s="174" t="s">
        <v>334</v>
      </c>
      <c r="L41" s="174">
        <v>20063525</v>
      </c>
      <c r="M41" s="185" t="s">
        <v>73</v>
      </c>
      <c r="N41" s="174" t="s">
        <v>534</v>
      </c>
      <c r="O41" s="174" t="s">
        <v>418</v>
      </c>
      <c r="P41" s="174" t="s">
        <v>419</v>
      </c>
      <c r="Q41" s="174" t="s">
        <v>412</v>
      </c>
      <c r="R41" s="174" t="s">
        <v>509</v>
      </c>
      <c r="S41" s="174" t="s">
        <v>881</v>
      </c>
      <c r="T41" s="174">
        <v>3</v>
      </c>
      <c r="U41" s="184"/>
    </row>
    <row r="42" spans="1:21" s="168" customFormat="1" ht="20.100000000000001" customHeight="1" x14ac:dyDescent="0.2">
      <c r="A42" s="188">
        <v>60152</v>
      </c>
      <c r="B42" s="189" t="s">
        <v>1314</v>
      </c>
      <c r="C42" s="171">
        <v>30023743</v>
      </c>
      <c r="D42" s="171">
        <v>30021144</v>
      </c>
      <c r="E42" s="168" t="s">
        <v>881</v>
      </c>
      <c r="F42" s="168" t="s">
        <v>335</v>
      </c>
      <c r="G42" s="190" t="s">
        <v>1004</v>
      </c>
      <c r="H42" s="168" t="s">
        <v>336</v>
      </c>
      <c r="I42" s="168" t="s">
        <v>337</v>
      </c>
      <c r="J42" s="168" t="s">
        <v>338</v>
      </c>
      <c r="K42" s="168" t="s">
        <v>334</v>
      </c>
      <c r="L42" s="168">
        <v>20062666</v>
      </c>
      <c r="M42" s="168" t="s">
        <v>73</v>
      </c>
      <c r="N42" s="168" t="s">
        <v>350</v>
      </c>
      <c r="O42" s="168" t="s">
        <v>421</v>
      </c>
      <c r="P42" s="168" t="s">
        <v>422</v>
      </c>
      <c r="Q42" s="168" t="s">
        <v>412</v>
      </c>
      <c r="R42" s="191" t="s">
        <v>509</v>
      </c>
      <c r="S42" s="168" t="s">
        <v>881</v>
      </c>
      <c r="T42" s="168" t="s">
        <v>881</v>
      </c>
      <c r="U42" s="187"/>
    </row>
    <row r="43" spans="1:21" s="168" customFormat="1" ht="20.100000000000001" customHeight="1" x14ac:dyDescent="0.2">
      <c r="A43" s="188">
        <v>60154</v>
      </c>
      <c r="B43" s="189" t="s">
        <v>1315</v>
      </c>
      <c r="C43" s="171">
        <v>30023924</v>
      </c>
      <c r="D43" s="171">
        <v>30021111</v>
      </c>
      <c r="E43" s="168" t="s">
        <v>881</v>
      </c>
      <c r="F43" s="168" t="s">
        <v>335</v>
      </c>
      <c r="G43" s="190" t="s">
        <v>1004</v>
      </c>
      <c r="H43" s="168" t="s">
        <v>326</v>
      </c>
      <c r="I43" s="168" t="s">
        <v>517</v>
      </c>
      <c r="J43" s="168" t="s">
        <v>356</v>
      </c>
      <c r="K43" s="168" t="s">
        <v>334</v>
      </c>
      <c r="L43" s="168">
        <v>20062248</v>
      </c>
      <c r="M43" s="168" t="s">
        <v>73</v>
      </c>
      <c r="N43" s="168" t="s">
        <v>518</v>
      </c>
      <c r="O43" s="168" t="s">
        <v>1316</v>
      </c>
      <c r="P43" s="168" t="s">
        <v>815</v>
      </c>
      <c r="Q43" s="168" t="s">
        <v>207</v>
      </c>
      <c r="R43" s="191" t="s">
        <v>1196</v>
      </c>
      <c r="S43" s="168" t="s">
        <v>881</v>
      </c>
      <c r="T43" s="168" t="s">
        <v>881</v>
      </c>
      <c r="U43" s="187"/>
    </row>
    <row r="44" spans="1:21" s="139" customFormat="1" ht="20.100000000000001" customHeight="1" x14ac:dyDescent="0.2">
      <c r="A44" s="197">
        <v>60163</v>
      </c>
      <c r="B44" s="198" t="s">
        <v>1317</v>
      </c>
      <c r="C44" s="199">
        <v>30024165</v>
      </c>
      <c r="D44" s="199">
        <v>30021116</v>
      </c>
      <c r="E44" s="139" t="s">
        <v>881</v>
      </c>
      <c r="F44" s="139" t="s">
        <v>335</v>
      </c>
      <c r="G44" s="139" t="s">
        <v>1046</v>
      </c>
      <c r="H44" s="139" t="s">
        <v>329</v>
      </c>
      <c r="I44" s="139" t="s">
        <v>511</v>
      </c>
      <c r="J44" s="139" t="s">
        <v>656</v>
      </c>
      <c r="K44" s="139" t="s">
        <v>334</v>
      </c>
      <c r="L44" s="139">
        <v>20062400</v>
      </c>
      <c r="M44" s="139" t="s">
        <v>73</v>
      </c>
      <c r="N44" s="139" t="s">
        <v>655</v>
      </c>
      <c r="O44" s="139" t="s">
        <v>1199</v>
      </c>
      <c r="P44" s="139" t="s">
        <v>1496</v>
      </c>
      <c r="Q44" s="139" t="s">
        <v>406</v>
      </c>
      <c r="R44" s="139" t="s">
        <v>1196</v>
      </c>
      <c r="S44" s="139" t="s">
        <v>881</v>
      </c>
      <c r="T44" s="139" t="s">
        <v>881</v>
      </c>
      <c r="U44" s="200"/>
    </row>
    <row r="45" spans="1:21" ht="20.100000000000001" customHeight="1" x14ac:dyDescent="0.2">
      <c r="A45" s="74">
        <v>60167</v>
      </c>
      <c r="B45" s="179" t="s">
        <v>881</v>
      </c>
      <c r="C45" s="74">
        <v>30024110</v>
      </c>
      <c r="D45" s="74" t="s">
        <v>881</v>
      </c>
      <c r="E45" s="174" t="s">
        <v>617</v>
      </c>
      <c r="F45" s="174" t="s">
        <v>335</v>
      </c>
      <c r="G45" s="174" t="s">
        <v>1041</v>
      </c>
      <c r="H45" s="174" t="s">
        <v>332</v>
      </c>
      <c r="I45" s="174" t="s">
        <v>662</v>
      </c>
      <c r="J45" s="174" t="s">
        <v>663</v>
      </c>
      <c r="K45" s="174" t="s">
        <v>334</v>
      </c>
      <c r="L45" s="174">
        <v>20062189</v>
      </c>
      <c r="M45" s="185" t="s">
        <v>73</v>
      </c>
      <c r="N45" s="174" t="s">
        <v>634</v>
      </c>
      <c r="O45" s="174" t="s">
        <v>391</v>
      </c>
      <c r="P45" s="174" t="s">
        <v>422</v>
      </c>
      <c r="Q45" s="174" t="s">
        <v>412</v>
      </c>
      <c r="R45" s="174" t="s">
        <v>509</v>
      </c>
      <c r="S45" s="174" t="s">
        <v>881</v>
      </c>
      <c r="T45" s="174">
        <v>3</v>
      </c>
      <c r="U45" s="184"/>
    </row>
    <row r="46" spans="1:21" ht="20.100000000000001" customHeight="1" x14ac:dyDescent="0.2">
      <c r="A46" s="74">
        <v>60172</v>
      </c>
      <c r="B46" s="179" t="s">
        <v>881</v>
      </c>
      <c r="C46" s="74">
        <v>30022188</v>
      </c>
      <c r="D46" s="74" t="s">
        <v>881</v>
      </c>
      <c r="E46" s="174" t="s">
        <v>881</v>
      </c>
      <c r="F46" s="174" t="s">
        <v>335</v>
      </c>
      <c r="G46" s="174" t="s">
        <v>1044</v>
      </c>
      <c r="H46" s="174" t="s">
        <v>332</v>
      </c>
      <c r="I46" s="174" t="s">
        <v>351</v>
      </c>
      <c r="J46" s="174" t="s">
        <v>37</v>
      </c>
      <c r="K46" s="174" t="s">
        <v>334</v>
      </c>
      <c r="L46" s="174">
        <v>20060809</v>
      </c>
      <c r="M46" s="174" t="s">
        <v>73</v>
      </c>
      <c r="N46" s="174" t="s">
        <v>634</v>
      </c>
      <c r="O46" s="174" t="s">
        <v>420</v>
      </c>
      <c r="P46" s="174" t="s">
        <v>386</v>
      </c>
      <c r="Q46" s="174" t="s">
        <v>412</v>
      </c>
      <c r="R46" s="174" t="s">
        <v>509</v>
      </c>
      <c r="S46" s="174" t="s">
        <v>881</v>
      </c>
      <c r="T46" s="174">
        <v>3</v>
      </c>
      <c r="U46" s="184"/>
    </row>
    <row r="47" spans="1:21" ht="20.100000000000001" customHeight="1" x14ac:dyDescent="0.2">
      <c r="A47" s="74">
        <v>60178</v>
      </c>
      <c r="B47" s="179" t="s">
        <v>881</v>
      </c>
      <c r="C47" s="74">
        <v>30022775</v>
      </c>
      <c r="D47" s="74" t="s">
        <v>881</v>
      </c>
      <c r="E47" s="174" t="s">
        <v>881</v>
      </c>
      <c r="F47" s="174" t="s">
        <v>335</v>
      </c>
      <c r="G47" s="174" t="s">
        <v>1041</v>
      </c>
      <c r="H47" s="174" t="s">
        <v>330</v>
      </c>
      <c r="I47" s="174" t="s">
        <v>337</v>
      </c>
      <c r="J47" s="174" t="s">
        <v>108</v>
      </c>
      <c r="K47" s="174" t="s">
        <v>334</v>
      </c>
      <c r="L47" s="174">
        <v>20063432</v>
      </c>
      <c r="M47" s="174" t="s">
        <v>73</v>
      </c>
      <c r="N47" s="174" t="s">
        <v>634</v>
      </c>
      <c r="O47" s="174" t="s">
        <v>421</v>
      </c>
      <c r="P47" s="174" t="s">
        <v>422</v>
      </c>
      <c r="Q47" s="174" t="s">
        <v>412</v>
      </c>
      <c r="R47" s="174" t="s">
        <v>509</v>
      </c>
      <c r="S47" s="174" t="s">
        <v>881</v>
      </c>
      <c r="T47" s="174">
        <v>3</v>
      </c>
      <c r="U47" s="184"/>
    </row>
    <row r="48" spans="1:21" ht="20.100000000000001" customHeight="1" x14ac:dyDescent="0.2">
      <c r="A48" s="74">
        <v>60179</v>
      </c>
      <c r="B48" s="179" t="s">
        <v>881</v>
      </c>
      <c r="C48" s="74">
        <v>30024111</v>
      </c>
      <c r="D48" s="74" t="s">
        <v>881</v>
      </c>
      <c r="E48" s="174" t="s">
        <v>877</v>
      </c>
      <c r="F48" s="174" t="s">
        <v>335</v>
      </c>
      <c r="G48" s="174" t="s">
        <v>1110</v>
      </c>
      <c r="H48" s="174" t="s">
        <v>332</v>
      </c>
      <c r="I48" s="174" t="s">
        <v>337</v>
      </c>
      <c r="J48" s="174" t="s">
        <v>338</v>
      </c>
      <c r="K48" s="174" t="s">
        <v>334</v>
      </c>
      <c r="L48" s="174">
        <v>20062398</v>
      </c>
      <c r="M48" s="185" t="s">
        <v>73</v>
      </c>
      <c r="N48" s="174" t="s">
        <v>881</v>
      </c>
      <c r="O48" s="174" t="s">
        <v>647</v>
      </c>
      <c r="P48" s="174" t="s">
        <v>482</v>
      </c>
      <c r="Q48" s="174" t="s">
        <v>412</v>
      </c>
      <c r="R48" s="174" t="s">
        <v>509</v>
      </c>
      <c r="S48" s="174">
        <v>40056401</v>
      </c>
      <c r="T48" s="174">
        <v>3</v>
      </c>
      <c r="U48" s="184"/>
    </row>
    <row r="49" spans="1:21" ht="20.100000000000001" customHeight="1" x14ac:dyDescent="0.2">
      <c r="A49" s="74">
        <v>60186</v>
      </c>
      <c r="B49" s="179" t="s">
        <v>881</v>
      </c>
      <c r="C49" s="74">
        <v>30024112</v>
      </c>
      <c r="D49" s="74" t="s">
        <v>881</v>
      </c>
      <c r="E49" s="174" t="s">
        <v>874</v>
      </c>
      <c r="F49" s="174" t="s">
        <v>701</v>
      </c>
      <c r="G49" s="174" t="s">
        <v>1046</v>
      </c>
      <c r="H49" s="174" t="s">
        <v>329</v>
      </c>
      <c r="I49" s="174" t="s">
        <v>354</v>
      </c>
      <c r="J49" s="174" t="s">
        <v>246</v>
      </c>
      <c r="K49" s="174" t="s">
        <v>334</v>
      </c>
      <c r="L49" s="174">
        <v>20062667</v>
      </c>
      <c r="M49" s="185" t="s">
        <v>73</v>
      </c>
      <c r="N49" s="174" t="s">
        <v>1101</v>
      </c>
      <c r="O49" s="174" t="s">
        <v>368</v>
      </c>
      <c r="P49" s="174" t="s">
        <v>367</v>
      </c>
      <c r="Q49" s="174" t="s">
        <v>507</v>
      </c>
      <c r="R49" s="174" t="s">
        <v>1196</v>
      </c>
      <c r="S49" s="174" t="s">
        <v>881</v>
      </c>
      <c r="T49" s="174">
        <v>2</v>
      </c>
      <c r="U49" s="184"/>
    </row>
    <row r="50" spans="1:21" ht="20.100000000000001" customHeight="1" x14ac:dyDescent="0.2">
      <c r="A50" s="74">
        <v>60187</v>
      </c>
      <c r="B50" s="179" t="s">
        <v>881</v>
      </c>
      <c r="C50" s="74">
        <v>30024113</v>
      </c>
      <c r="D50" s="74" t="s">
        <v>881</v>
      </c>
      <c r="E50" s="174" t="s">
        <v>872</v>
      </c>
      <c r="F50" s="174" t="s">
        <v>701</v>
      </c>
      <c r="G50" s="174" t="s">
        <v>1046</v>
      </c>
      <c r="H50" s="174" t="s">
        <v>329</v>
      </c>
      <c r="I50" s="174" t="s">
        <v>354</v>
      </c>
      <c r="J50" s="174" t="s">
        <v>246</v>
      </c>
      <c r="K50" s="174" t="s">
        <v>334</v>
      </c>
      <c r="L50" s="174">
        <v>20062667</v>
      </c>
      <c r="M50" s="185" t="s">
        <v>73</v>
      </c>
      <c r="N50" s="174" t="s">
        <v>1101</v>
      </c>
      <c r="O50" s="174" t="s">
        <v>368</v>
      </c>
      <c r="P50" s="174" t="s">
        <v>367</v>
      </c>
      <c r="Q50" s="174" t="s">
        <v>507</v>
      </c>
      <c r="R50" s="174" t="s">
        <v>1196</v>
      </c>
      <c r="S50" s="174" t="s">
        <v>881</v>
      </c>
      <c r="T50" s="174">
        <v>2</v>
      </c>
      <c r="U50" s="184"/>
    </row>
    <row r="51" spans="1:21" ht="20.100000000000001" customHeight="1" x14ac:dyDescent="0.2">
      <c r="A51" s="74">
        <v>60193</v>
      </c>
      <c r="B51" s="179" t="s">
        <v>881</v>
      </c>
      <c r="C51" s="74">
        <v>30024114</v>
      </c>
      <c r="D51" s="74" t="s">
        <v>881</v>
      </c>
      <c r="E51" s="174" t="s">
        <v>872</v>
      </c>
      <c r="F51" s="174" t="s">
        <v>335</v>
      </c>
      <c r="G51" s="174" t="s">
        <v>1046</v>
      </c>
      <c r="H51" s="174" t="s">
        <v>329</v>
      </c>
      <c r="I51" s="174" t="s">
        <v>511</v>
      </c>
      <c r="J51" s="174" t="s">
        <v>656</v>
      </c>
      <c r="K51" s="174" t="s">
        <v>334</v>
      </c>
      <c r="L51" s="174">
        <v>20062490</v>
      </c>
      <c r="M51" s="185" t="s">
        <v>73</v>
      </c>
      <c r="N51" s="174" t="s">
        <v>881</v>
      </c>
      <c r="O51" s="174" t="s">
        <v>620</v>
      </c>
      <c r="P51" s="174" t="s">
        <v>393</v>
      </c>
      <c r="Q51" s="174" t="s">
        <v>207</v>
      </c>
      <c r="R51" s="174" t="s">
        <v>1196</v>
      </c>
      <c r="S51" s="174">
        <v>40057296</v>
      </c>
      <c r="T51" s="174">
        <v>4</v>
      </c>
      <c r="U51" s="184"/>
    </row>
    <row r="52" spans="1:21" ht="20.100000000000001" customHeight="1" x14ac:dyDescent="0.2">
      <c r="A52" s="74">
        <v>60194</v>
      </c>
      <c r="B52" s="179" t="s">
        <v>881</v>
      </c>
      <c r="C52" s="74">
        <v>30022660</v>
      </c>
      <c r="D52" s="74" t="s">
        <v>881</v>
      </c>
      <c r="E52" s="174" t="s">
        <v>881</v>
      </c>
      <c r="F52" s="174" t="s">
        <v>21</v>
      </c>
      <c r="G52" s="174" t="s">
        <v>1058</v>
      </c>
      <c r="H52" s="174" t="s">
        <v>329</v>
      </c>
      <c r="I52" s="174" t="s">
        <v>354</v>
      </c>
      <c r="J52" s="174" t="s">
        <v>246</v>
      </c>
      <c r="K52" s="174" t="s">
        <v>334</v>
      </c>
      <c r="L52" s="174">
        <v>20063544</v>
      </c>
      <c r="M52" s="174" t="s">
        <v>73</v>
      </c>
      <c r="N52" s="174" t="s">
        <v>887</v>
      </c>
      <c r="O52" s="174" t="s">
        <v>362</v>
      </c>
      <c r="P52" s="174" t="s">
        <v>1508</v>
      </c>
      <c r="Q52" s="174" t="s">
        <v>384</v>
      </c>
      <c r="R52" s="174" t="s">
        <v>1196</v>
      </c>
      <c r="S52" s="174" t="s">
        <v>881</v>
      </c>
      <c r="T52" s="174">
        <v>2</v>
      </c>
      <c r="U52" s="184"/>
    </row>
    <row r="53" spans="1:21" ht="20.100000000000001" customHeight="1" x14ac:dyDescent="0.2">
      <c r="A53" s="74">
        <v>60195</v>
      </c>
      <c r="B53" s="179" t="s">
        <v>881</v>
      </c>
      <c r="C53" s="74">
        <v>30022776</v>
      </c>
      <c r="D53" s="74" t="s">
        <v>881</v>
      </c>
      <c r="E53" s="174" t="s">
        <v>881</v>
      </c>
      <c r="F53" s="174" t="s">
        <v>21</v>
      </c>
      <c r="G53" s="174" t="s">
        <v>1044</v>
      </c>
      <c r="H53" s="174" t="s">
        <v>329</v>
      </c>
      <c r="I53" s="174" t="s">
        <v>354</v>
      </c>
      <c r="J53" s="174" t="s">
        <v>246</v>
      </c>
      <c r="K53" s="174" t="s">
        <v>334</v>
      </c>
      <c r="L53" s="174">
        <v>20062524</v>
      </c>
      <c r="M53" s="174" t="s">
        <v>73</v>
      </c>
      <c r="N53" s="174" t="s">
        <v>887</v>
      </c>
      <c r="O53" s="174" t="s">
        <v>366</v>
      </c>
      <c r="P53" s="174" t="s">
        <v>1508</v>
      </c>
      <c r="Q53" s="174" t="s">
        <v>384</v>
      </c>
      <c r="R53" s="174" t="s">
        <v>1196</v>
      </c>
      <c r="S53" s="174" t="s">
        <v>881</v>
      </c>
      <c r="T53" s="174">
        <v>2</v>
      </c>
      <c r="U53" s="184"/>
    </row>
    <row r="54" spans="1:21" ht="20.100000000000001" customHeight="1" x14ac:dyDescent="0.2">
      <c r="A54" s="74">
        <v>60196</v>
      </c>
      <c r="B54" s="179" t="s">
        <v>881</v>
      </c>
      <c r="C54" s="74">
        <v>30022666</v>
      </c>
      <c r="D54" s="74" t="s">
        <v>881</v>
      </c>
      <c r="E54" s="174" t="s">
        <v>881</v>
      </c>
      <c r="F54" s="174" t="s">
        <v>335</v>
      </c>
      <c r="G54" s="174" t="s">
        <v>1044</v>
      </c>
      <c r="H54" s="174" t="s">
        <v>330</v>
      </c>
      <c r="I54" s="174" t="s">
        <v>342</v>
      </c>
      <c r="J54" s="174" t="s">
        <v>324</v>
      </c>
      <c r="K54" s="174" t="s">
        <v>334</v>
      </c>
      <c r="L54" s="174">
        <v>20063241</v>
      </c>
      <c r="M54" s="174" t="s">
        <v>73</v>
      </c>
      <c r="N54" s="174" t="s">
        <v>634</v>
      </c>
      <c r="O54" s="174" t="s">
        <v>381</v>
      </c>
      <c r="P54" s="174" t="s">
        <v>386</v>
      </c>
      <c r="Q54" s="174" t="s">
        <v>412</v>
      </c>
      <c r="R54" s="174" t="s">
        <v>509</v>
      </c>
      <c r="S54" s="174" t="s">
        <v>881</v>
      </c>
      <c r="T54" s="174">
        <v>3</v>
      </c>
      <c r="U54" s="184"/>
    </row>
    <row r="55" spans="1:21" ht="20.100000000000001" customHeight="1" x14ac:dyDescent="0.2">
      <c r="A55" s="74">
        <v>60198</v>
      </c>
      <c r="B55" s="179" t="s">
        <v>881</v>
      </c>
      <c r="C55" s="74" t="s">
        <v>946</v>
      </c>
      <c r="D55" s="74" t="s">
        <v>881</v>
      </c>
      <c r="E55" s="174" t="s">
        <v>881</v>
      </c>
      <c r="F55" s="174" t="s">
        <v>21</v>
      </c>
      <c r="G55" s="174" t="s">
        <v>1046</v>
      </c>
      <c r="H55" s="174" t="s">
        <v>329</v>
      </c>
      <c r="I55" s="174" t="s">
        <v>354</v>
      </c>
      <c r="J55" s="174" t="s">
        <v>246</v>
      </c>
      <c r="K55" s="174" t="s">
        <v>334</v>
      </c>
      <c r="L55" s="174">
        <v>20062667</v>
      </c>
      <c r="M55" s="174" t="s">
        <v>73</v>
      </c>
      <c r="N55" s="174" t="s">
        <v>1101</v>
      </c>
      <c r="O55" s="174" t="s">
        <v>368</v>
      </c>
      <c r="P55" s="174" t="s">
        <v>367</v>
      </c>
      <c r="Q55" s="174" t="s">
        <v>507</v>
      </c>
      <c r="R55" s="174" t="s">
        <v>1196</v>
      </c>
      <c r="S55" s="174" t="s">
        <v>881</v>
      </c>
      <c r="T55" s="174">
        <v>2</v>
      </c>
      <c r="U55" s="184"/>
    </row>
    <row r="56" spans="1:21" ht="20.100000000000001" customHeight="1" x14ac:dyDescent="0.2">
      <c r="A56" s="74">
        <v>60200</v>
      </c>
      <c r="B56" s="179" t="s">
        <v>881</v>
      </c>
      <c r="C56" s="74" t="s">
        <v>944</v>
      </c>
      <c r="D56" s="74" t="s">
        <v>881</v>
      </c>
      <c r="E56" s="174" t="s">
        <v>875</v>
      </c>
      <c r="F56" s="174" t="s">
        <v>328</v>
      </c>
      <c r="G56" s="174" t="s">
        <v>1058</v>
      </c>
      <c r="H56" s="174" t="s">
        <v>332</v>
      </c>
      <c r="I56" s="174" t="s">
        <v>611</v>
      </c>
      <c r="J56" s="174" t="s">
        <v>640</v>
      </c>
      <c r="K56" s="174" t="s">
        <v>334</v>
      </c>
      <c r="L56" s="174">
        <v>20065318</v>
      </c>
      <c r="M56" s="185" t="s">
        <v>73</v>
      </c>
      <c r="N56" s="174" t="s">
        <v>1101</v>
      </c>
      <c r="O56" s="174" t="s">
        <v>394</v>
      </c>
      <c r="P56" s="174" t="s">
        <v>367</v>
      </c>
      <c r="Q56" s="174" t="s">
        <v>507</v>
      </c>
      <c r="R56" s="174" t="s">
        <v>1196</v>
      </c>
      <c r="S56" s="174" t="s">
        <v>881</v>
      </c>
      <c r="T56" s="174">
        <v>2</v>
      </c>
      <c r="U56" s="184"/>
    </row>
    <row r="57" spans="1:21" ht="20.100000000000001" customHeight="1" x14ac:dyDescent="0.2">
      <c r="A57" s="74">
        <v>60213</v>
      </c>
      <c r="B57" s="179" t="s">
        <v>881</v>
      </c>
      <c r="C57" s="74" t="s">
        <v>943</v>
      </c>
      <c r="D57" s="74" t="s">
        <v>881</v>
      </c>
      <c r="E57" s="174" t="s">
        <v>874</v>
      </c>
      <c r="F57" s="174" t="s">
        <v>328</v>
      </c>
      <c r="G57" s="174" t="s">
        <v>1046</v>
      </c>
      <c r="H57" s="174" t="s">
        <v>329</v>
      </c>
      <c r="I57" s="174" t="s">
        <v>354</v>
      </c>
      <c r="J57" s="174" t="s">
        <v>246</v>
      </c>
      <c r="K57" s="174" t="s">
        <v>334</v>
      </c>
      <c r="L57" s="174">
        <v>20062667</v>
      </c>
      <c r="M57" s="174" t="s">
        <v>73</v>
      </c>
      <c r="N57" s="174" t="s">
        <v>1101</v>
      </c>
      <c r="O57" s="174" t="s">
        <v>368</v>
      </c>
      <c r="P57" s="174" t="s">
        <v>367</v>
      </c>
      <c r="Q57" s="174" t="s">
        <v>507</v>
      </c>
      <c r="R57" s="174" t="s">
        <v>1196</v>
      </c>
      <c r="S57" s="174" t="s">
        <v>881</v>
      </c>
      <c r="T57" s="174">
        <v>2</v>
      </c>
      <c r="U57" s="184"/>
    </row>
    <row r="58" spans="1:21" ht="20.100000000000001" customHeight="1" x14ac:dyDescent="0.2">
      <c r="A58" s="74">
        <v>60214</v>
      </c>
      <c r="B58" s="179" t="s">
        <v>881</v>
      </c>
      <c r="C58" s="74" t="s">
        <v>945</v>
      </c>
      <c r="D58" s="74" t="s">
        <v>881</v>
      </c>
      <c r="E58" s="174" t="s">
        <v>872</v>
      </c>
      <c r="F58" s="174" t="s">
        <v>328</v>
      </c>
      <c r="G58" s="174" t="s">
        <v>1046</v>
      </c>
      <c r="H58" s="174" t="s">
        <v>329</v>
      </c>
      <c r="I58" s="174" t="s">
        <v>354</v>
      </c>
      <c r="J58" s="174" t="s">
        <v>246</v>
      </c>
      <c r="K58" s="174" t="s">
        <v>334</v>
      </c>
      <c r="L58" s="174">
        <v>20062667</v>
      </c>
      <c r="M58" s="174" t="s">
        <v>73</v>
      </c>
      <c r="N58" s="174" t="s">
        <v>1101</v>
      </c>
      <c r="O58" s="174" t="s">
        <v>368</v>
      </c>
      <c r="P58" s="174" t="s">
        <v>367</v>
      </c>
      <c r="Q58" s="174" t="s">
        <v>507</v>
      </c>
      <c r="R58" s="174" t="s">
        <v>1196</v>
      </c>
      <c r="S58" s="174" t="s">
        <v>881</v>
      </c>
      <c r="T58" s="174">
        <v>2</v>
      </c>
      <c r="U58" s="184"/>
    </row>
    <row r="59" spans="1:21" ht="20.100000000000001" customHeight="1" x14ac:dyDescent="0.2">
      <c r="A59" s="74">
        <v>60218</v>
      </c>
      <c r="B59" s="179" t="s">
        <v>881</v>
      </c>
      <c r="C59" s="74">
        <v>30024042</v>
      </c>
      <c r="D59" s="74" t="s">
        <v>881</v>
      </c>
      <c r="E59" s="174" t="s">
        <v>617</v>
      </c>
      <c r="F59" s="174" t="s">
        <v>335</v>
      </c>
      <c r="G59" s="174" t="s">
        <v>1044</v>
      </c>
      <c r="H59" s="174" t="s">
        <v>332</v>
      </c>
      <c r="I59" s="174" t="s">
        <v>553</v>
      </c>
      <c r="J59" s="174" t="s">
        <v>639</v>
      </c>
      <c r="K59" s="174" t="s">
        <v>334</v>
      </c>
      <c r="L59" s="174">
        <v>20062393</v>
      </c>
      <c r="M59" s="174" t="s">
        <v>73</v>
      </c>
      <c r="N59" s="174" t="s">
        <v>683</v>
      </c>
      <c r="O59" s="174" t="s">
        <v>388</v>
      </c>
      <c r="P59" s="174" t="s">
        <v>1496</v>
      </c>
      <c r="Q59" s="174" t="s">
        <v>406</v>
      </c>
      <c r="R59" s="174" t="s">
        <v>1196</v>
      </c>
      <c r="S59" s="174" t="s">
        <v>881</v>
      </c>
      <c r="T59" s="174">
        <v>4</v>
      </c>
      <c r="U59" s="184"/>
    </row>
    <row r="60" spans="1:21" ht="20.100000000000001" customHeight="1" x14ac:dyDescent="0.2">
      <c r="A60" s="74">
        <v>60219</v>
      </c>
      <c r="B60" s="179" t="s">
        <v>881</v>
      </c>
      <c r="C60" s="74">
        <v>30023555</v>
      </c>
      <c r="D60" s="74" t="s">
        <v>881</v>
      </c>
      <c r="E60" s="174" t="s">
        <v>881</v>
      </c>
      <c r="F60" s="174" t="s">
        <v>335</v>
      </c>
      <c r="G60" s="174" t="s">
        <v>1045</v>
      </c>
      <c r="H60" s="174" t="s">
        <v>330</v>
      </c>
      <c r="I60" s="174" t="s">
        <v>355</v>
      </c>
      <c r="J60" s="174" t="s">
        <v>356</v>
      </c>
      <c r="K60" s="174" t="s">
        <v>334</v>
      </c>
      <c r="L60" s="174">
        <v>20063442</v>
      </c>
      <c r="M60" s="185" t="s">
        <v>908</v>
      </c>
      <c r="N60" s="174" t="s">
        <v>325</v>
      </c>
      <c r="O60" s="174" t="s">
        <v>387</v>
      </c>
      <c r="P60" s="174" t="s">
        <v>383</v>
      </c>
      <c r="Q60" s="174" t="s">
        <v>412</v>
      </c>
      <c r="R60" s="174" t="s">
        <v>509</v>
      </c>
      <c r="S60" s="174" t="s">
        <v>881</v>
      </c>
      <c r="T60" s="174">
        <v>3</v>
      </c>
      <c r="U60" s="184"/>
    </row>
    <row r="61" spans="1:21" s="139" customFormat="1" ht="20.100000000000001" customHeight="1" x14ac:dyDescent="0.2">
      <c r="A61" s="197">
        <v>60223</v>
      </c>
      <c r="B61" s="198" t="s">
        <v>245</v>
      </c>
      <c r="C61" s="199">
        <v>30023202</v>
      </c>
      <c r="D61" s="199">
        <v>30021325</v>
      </c>
      <c r="E61" s="139" t="s">
        <v>881</v>
      </c>
      <c r="F61" s="139" t="s">
        <v>700</v>
      </c>
      <c r="G61" s="139" t="s">
        <v>1058</v>
      </c>
      <c r="H61" s="139" t="s">
        <v>329</v>
      </c>
      <c r="I61" s="139" t="s">
        <v>354</v>
      </c>
      <c r="J61" s="139" t="s">
        <v>246</v>
      </c>
      <c r="K61" s="139" t="s">
        <v>334</v>
      </c>
      <c r="L61" s="139">
        <v>20062664</v>
      </c>
      <c r="M61" s="139" t="s">
        <v>73</v>
      </c>
      <c r="N61" s="139" t="s">
        <v>890</v>
      </c>
      <c r="O61" s="139" t="s">
        <v>1137</v>
      </c>
      <c r="P61" s="139" t="s">
        <v>367</v>
      </c>
      <c r="Q61" s="139" t="s">
        <v>507</v>
      </c>
      <c r="R61" s="201" t="s">
        <v>1196</v>
      </c>
      <c r="S61" s="139" t="s">
        <v>881</v>
      </c>
      <c r="T61" s="139" t="s">
        <v>881</v>
      </c>
      <c r="U61" s="200"/>
    </row>
    <row r="62" spans="1:21" ht="20.100000000000001" customHeight="1" x14ac:dyDescent="0.2">
      <c r="A62" s="74">
        <v>60224</v>
      </c>
      <c r="B62" s="179" t="s">
        <v>881</v>
      </c>
      <c r="C62" s="74">
        <v>30024342</v>
      </c>
      <c r="D62" s="74" t="s">
        <v>881</v>
      </c>
      <c r="E62" s="174" t="s">
        <v>872</v>
      </c>
      <c r="F62" s="174" t="s">
        <v>701</v>
      </c>
      <c r="G62" s="174" t="s">
        <v>1046</v>
      </c>
      <c r="H62" s="174" t="s">
        <v>329</v>
      </c>
      <c r="I62" s="174" t="s">
        <v>354</v>
      </c>
      <c r="J62" s="174" t="s">
        <v>246</v>
      </c>
      <c r="K62" s="174" t="s">
        <v>334</v>
      </c>
      <c r="L62" s="174">
        <v>20062667</v>
      </c>
      <c r="M62" s="185" t="s">
        <v>73</v>
      </c>
      <c r="N62" s="174" t="s">
        <v>1101</v>
      </c>
      <c r="O62" s="174" t="s">
        <v>368</v>
      </c>
      <c r="P62" s="174" t="s">
        <v>367</v>
      </c>
      <c r="Q62" s="174" t="s">
        <v>507</v>
      </c>
      <c r="R62" s="174" t="s">
        <v>1196</v>
      </c>
      <c r="S62" s="174" t="s">
        <v>881</v>
      </c>
      <c r="T62" s="174">
        <v>2</v>
      </c>
      <c r="U62" s="184"/>
    </row>
    <row r="63" spans="1:21" ht="20.100000000000001" customHeight="1" x14ac:dyDescent="0.2">
      <c r="A63" s="74">
        <v>60226</v>
      </c>
      <c r="B63" s="179" t="s">
        <v>881</v>
      </c>
      <c r="C63" s="74">
        <v>30024115</v>
      </c>
      <c r="D63" s="74" t="s">
        <v>881</v>
      </c>
      <c r="E63" s="174" t="s">
        <v>617</v>
      </c>
      <c r="F63" s="174" t="s">
        <v>335</v>
      </c>
      <c r="G63" s="174" t="s">
        <v>1062</v>
      </c>
      <c r="H63" s="174" t="s">
        <v>602</v>
      </c>
      <c r="I63" s="174" t="s">
        <v>523</v>
      </c>
      <c r="J63" s="174" t="s">
        <v>543</v>
      </c>
      <c r="K63" s="174" t="s">
        <v>334</v>
      </c>
      <c r="L63" s="174">
        <v>20062822</v>
      </c>
      <c r="M63" s="185" t="s">
        <v>73</v>
      </c>
      <c r="N63" s="174" t="s">
        <v>881</v>
      </c>
      <c r="O63" s="174" t="s">
        <v>387</v>
      </c>
      <c r="P63" s="174" t="s">
        <v>383</v>
      </c>
      <c r="Q63" s="174" t="s">
        <v>412</v>
      </c>
      <c r="R63" s="174" t="s">
        <v>509</v>
      </c>
      <c r="S63" s="174">
        <v>40060198</v>
      </c>
      <c r="T63" s="174">
        <v>3</v>
      </c>
      <c r="U63" s="184"/>
    </row>
    <row r="64" spans="1:21" ht="20.100000000000001" customHeight="1" x14ac:dyDescent="0.2">
      <c r="A64" s="74">
        <v>60229</v>
      </c>
      <c r="B64" s="179" t="s">
        <v>881</v>
      </c>
      <c r="C64" s="74">
        <v>30023830</v>
      </c>
      <c r="D64" s="74" t="s">
        <v>881</v>
      </c>
      <c r="E64" s="174" t="s">
        <v>878</v>
      </c>
      <c r="F64" s="174" t="s">
        <v>328</v>
      </c>
      <c r="G64" s="174" t="s">
        <v>1046</v>
      </c>
      <c r="H64" s="174" t="s">
        <v>329</v>
      </c>
      <c r="I64" s="174" t="s">
        <v>354</v>
      </c>
      <c r="J64" s="174" t="s">
        <v>246</v>
      </c>
      <c r="K64" s="174" t="s">
        <v>334</v>
      </c>
      <c r="L64" s="174">
        <v>20062667</v>
      </c>
      <c r="M64" s="185" t="s">
        <v>73</v>
      </c>
      <c r="N64" s="174" t="s">
        <v>1101</v>
      </c>
      <c r="O64" s="174" t="s">
        <v>368</v>
      </c>
      <c r="P64" s="174" t="s">
        <v>367</v>
      </c>
      <c r="Q64" s="174" t="s">
        <v>507</v>
      </c>
      <c r="R64" s="174" t="s">
        <v>1196</v>
      </c>
      <c r="S64" s="174" t="s">
        <v>881</v>
      </c>
      <c r="T64" s="174">
        <v>2</v>
      </c>
      <c r="U64" s="184"/>
    </row>
    <row r="65" spans="1:21" ht="20.100000000000001" customHeight="1" x14ac:dyDescent="0.2">
      <c r="A65" s="74">
        <v>60230</v>
      </c>
      <c r="B65" s="179" t="s">
        <v>881</v>
      </c>
      <c r="C65" s="74">
        <v>30023831</v>
      </c>
      <c r="D65" s="74" t="s">
        <v>881</v>
      </c>
      <c r="E65" s="174" t="s">
        <v>873</v>
      </c>
      <c r="F65" s="174" t="s">
        <v>328</v>
      </c>
      <c r="G65" s="174" t="s">
        <v>1046</v>
      </c>
      <c r="H65" s="174" t="s">
        <v>329</v>
      </c>
      <c r="I65" s="174" t="s">
        <v>354</v>
      </c>
      <c r="J65" s="174" t="s">
        <v>246</v>
      </c>
      <c r="K65" s="174" t="s">
        <v>334</v>
      </c>
      <c r="L65" s="174">
        <v>20062667</v>
      </c>
      <c r="M65" s="185" t="s">
        <v>73</v>
      </c>
      <c r="N65" s="174" t="s">
        <v>1101</v>
      </c>
      <c r="O65" s="174" t="s">
        <v>368</v>
      </c>
      <c r="P65" s="174" t="s">
        <v>367</v>
      </c>
      <c r="Q65" s="174" t="s">
        <v>507</v>
      </c>
      <c r="R65" s="174" t="s">
        <v>1196</v>
      </c>
      <c r="S65" s="174" t="s">
        <v>881</v>
      </c>
      <c r="T65" s="174">
        <v>2</v>
      </c>
      <c r="U65" s="184"/>
    </row>
    <row r="66" spans="1:21" ht="20.100000000000001" customHeight="1" x14ac:dyDescent="0.2">
      <c r="A66" s="74">
        <v>60233</v>
      </c>
      <c r="B66" s="179" t="s">
        <v>881</v>
      </c>
      <c r="C66" s="74">
        <v>30024116</v>
      </c>
      <c r="D66" s="74" t="s">
        <v>881</v>
      </c>
      <c r="E66" s="174" t="s">
        <v>617</v>
      </c>
      <c r="F66" s="174" t="s">
        <v>702</v>
      </c>
      <c r="G66" s="174" t="s">
        <v>1058</v>
      </c>
      <c r="H66" s="174" t="s">
        <v>329</v>
      </c>
      <c r="I66" s="174" t="s">
        <v>354</v>
      </c>
      <c r="J66" s="174" t="s">
        <v>246</v>
      </c>
      <c r="K66" s="174" t="s">
        <v>334</v>
      </c>
      <c r="L66" s="174">
        <v>20062667</v>
      </c>
      <c r="M66" s="185" t="s">
        <v>73</v>
      </c>
      <c r="N66" s="174" t="s">
        <v>1101</v>
      </c>
      <c r="O66" s="174" t="s">
        <v>368</v>
      </c>
      <c r="P66" s="174" t="s">
        <v>367</v>
      </c>
      <c r="Q66" s="174" t="s">
        <v>507</v>
      </c>
      <c r="R66" s="174" t="s">
        <v>1196</v>
      </c>
      <c r="S66" s="174" t="s">
        <v>881</v>
      </c>
      <c r="T66" s="174">
        <v>2</v>
      </c>
      <c r="U66" s="184"/>
    </row>
    <row r="67" spans="1:21" ht="20.100000000000001" customHeight="1" x14ac:dyDescent="0.2">
      <c r="A67" s="74">
        <v>60234</v>
      </c>
      <c r="B67" s="179" t="s">
        <v>881</v>
      </c>
      <c r="C67" s="74">
        <v>30024117</v>
      </c>
      <c r="D67" s="74" t="s">
        <v>881</v>
      </c>
      <c r="E67" s="174" t="s">
        <v>617</v>
      </c>
      <c r="F67" s="174" t="s">
        <v>604</v>
      </c>
      <c r="G67" s="174" t="s">
        <v>1062</v>
      </c>
      <c r="H67" s="174" t="s">
        <v>330</v>
      </c>
      <c r="I67" s="174" t="s">
        <v>523</v>
      </c>
      <c r="J67" s="174" t="s">
        <v>543</v>
      </c>
      <c r="K67" s="174" t="s">
        <v>334</v>
      </c>
      <c r="L67" s="174">
        <v>20062822</v>
      </c>
      <c r="M67" s="185" t="s">
        <v>73</v>
      </c>
      <c r="N67" s="174" t="s">
        <v>881</v>
      </c>
      <c r="O67" s="174" t="s">
        <v>387</v>
      </c>
      <c r="P67" s="174" t="s">
        <v>383</v>
      </c>
      <c r="Q67" s="174" t="s">
        <v>412</v>
      </c>
      <c r="R67" s="174" t="s">
        <v>509</v>
      </c>
      <c r="S67" s="174">
        <v>40060198</v>
      </c>
      <c r="T67" s="174">
        <v>3</v>
      </c>
      <c r="U67" s="184"/>
    </row>
    <row r="68" spans="1:21" ht="20.100000000000001" customHeight="1" x14ac:dyDescent="0.2">
      <c r="A68" s="74">
        <v>60244</v>
      </c>
      <c r="B68" s="179" t="s">
        <v>881</v>
      </c>
      <c r="C68" s="74">
        <v>30024118</v>
      </c>
      <c r="D68" s="74" t="s">
        <v>881</v>
      </c>
      <c r="E68" s="174" t="s">
        <v>872</v>
      </c>
      <c r="F68" s="174" t="s">
        <v>335</v>
      </c>
      <c r="G68" s="174" t="s">
        <v>1054</v>
      </c>
      <c r="H68" s="174" t="s">
        <v>330</v>
      </c>
      <c r="I68" s="174" t="s">
        <v>627</v>
      </c>
      <c r="J68" s="174" t="s">
        <v>109</v>
      </c>
      <c r="K68" s="174" t="s">
        <v>334</v>
      </c>
      <c r="L68" s="174">
        <v>20062423</v>
      </c>
      <c r="M68" s="185" t="s">
        <v>73</v>
      </c>
      <c r="N68" s="174" t="s">
        <v>881</v>
      </c>
      <c r="O68" s="174" t="s">
        <v>626</v>
      </c>
      <c r="P68" s="174" t="s">
        <v>625</v>
      </c>
      <c r="Q68" s="174" t="s">
        <v>489</v>
      </c>
      <c r="R68" s="174" t="s">
        <v>1196</v>
      </c>
      <c r="S68" s="174">
        <v>40060155</v>
      </c>
      <c r="T68" s="174">
        <v>3</v>
      </c>
      <c r="U68" s="184"/>
    </row>
    <row r="69" spans="1:21" ht="20.100000000000001" customHeight="1" x14ac:dyDescent="0.2">
      <c r="A69" s="74">
        <v>60249</v>
      </c>
      <c r="B69" s="179" t="s">
        <v>881</v>
      </c>
      <c r="C69" s="74">
        <v>30024119</v>
      </c>
      <c r="D69" s="74" t="s">
        <v>881</v>
      </c>
      <c r="E69" s="174" t="s">
        <v>617</v>
      </c>
      <c r="F69" s="174" t="s">
        <v>335</v>
      </c>
      <c r="G69" s="174" t="s">
        <v>1043</v>
      </c>
      <c r="H69" s="174" t="s">
        <v>332</v>
      </c>
      <c r="I69" s="174" t="s">
        <v>541</v>
      </c>
      <c r="J69" s="174" t="s">
        <v>648</v>
      </c>
      <c r="K69" s="174" t="s">
        <v>334</v>
      </c>
      <c r="L69" s="174">
        <v>20062393</v>
      </c>
      <c r="M69" s="185" t="s">
        <v>73</v>
      </c>
      <c r="N69" s="174" t="s">
        <v>683</v>
      </c>
      <c r="O69" s="174" t="s">
        <v>388</v>
      </c>
      <c r="P69" s="174" t="s">
        <v>1496</v>
      </c>
      <c r="Q69" s="174" t="s">
        <v>406</v>
      </c>
      <c r="R69" s="174" t="s">
        <v>1196</v>
      </c>
      <c r="S69" s="174">
        <v>40057145</v>
      </c>
      <c r="T69" s="174">
        <v>4</v>
      </c>
      <c r="U69" s="184"/>
    </row>
    <row r="70" spans="1:21" ht="20.100000000000001" customHeight="1" x14ac:dyDescent="0.2">
      <c r="A70" s="74">
        <v>60250</v>
      </c>
      <c r="B70" s="179" t="s">
        <v>881</v>
      </c>
      <c r="C70" s="74" t="s">
        <v>346</v>
      </c>
      <c r="D70" s="74" t="s">
        <v>881</v>
      </c>
      <c r="E70" s="174" t="s">
        <v>879</v>
      </c>
      <c r="F70" s="174" t="s">
        <v>20</v>
      </c>
      <c r="G70" s="174" t="s">
        <v>1058</v>
      </c>
      <c r="H70" s="174" t="s">
        <v>332</v>
      </c>
      <c r="I70" s="174" t="s">
        <v>611</v>
      </c>
      <c r="J70" s="174" t="s">
        <v>640</v>
      </c>
      <c r="K70" s="174" t="s">
        <v>334</v>
      </c>
      <c r="L70" s="174">
        <v>20064511</v>
      </c>
      <c r="M70" s="185" t="s">
        <v>73</v>
      </c>
      <c r="N70" s="174" t="s">
        <v>1101</v>
      </c>
      <c r="O70" s="174" t="s">
        <v>502</v>
      </c>
      <c r="P70" s="174" t="s">
        <v>367</v>
      </c>
      <c r="Q70" s="174" t="s">
        <v>507</v>
      </c>
      <c r="R70" s="174" t="s">
        <v>1196</v>
      </c>
      <c r="S70" s="174" t="s">
        <v>881</v>
      </c>
      <c r="T70" s="174">
        <v>2</v>
      </c>
      <c r="U70" s="184"/>
    </row>
    <row r="71" spans="1:21" ht="20.100000000000001" customHeight="1" x14ac:dyDescent="0.2">
      <c r="A71" s="74">
        <v>60251</v>
      </c>
      <c r="B71" s="179" t="s">
        <v>881</v>
      </c>
      <c r="C71" s="74">
        <v>30023362</v>
      </c>
      <c r="D71" s="74" t="s">
        <v>881</v>
      </c>
      <c r="E71" s="174" t="s">
        <v>881</v>
      </c>
      <c r="F71" s="174" t="s">
        <v>698</v>
      </c>
      <c r="G71" s="174" t="s">
        <v>1049</v>
      </c>
      <c r="H71" s="174" t="s">
        <v>329</v>
      </c>
      <c r="I71" s="174" t="s">
        <v>354</v>
      </c>
      <c r="J71" s="174" t="s">
        <v>246</v>
      </c>
      <c r="K71" s="174" t="s">
        <v>334</v>
      </c>
      <c r="L71" s="174">
        <v>20062667</v>
      </c>
      <c r="M71" s="174" t="s">
        <v>73</v>
      </c>
      <c r="N71" s="174" t="s">
        <v>1101</v>
      </c>
      <c r="O71" s="174" t="s">
        <v>368</v>
      </c>
      <c r="P71" s="174" t="s">
        <v>367</v>
      </c>
      <c r="Q71" s="174" t="s">
        <v>507</v>
      </c>
      <c r="R71" s="174" t="s">
        <v>1196</v>
      </c>
      <c r="S71" s="174" t="s">
        <v>881</v>
      </c>
      <c r="T71" s="174">
        <v>2</v>
      </c>
      <c r="U71" s="184"/>
    </row>
    <row r="72" spans="1:21" ht="20.100000000000001" customHeight="1" x14ac:dyDescent="0.2">
      <c r="A72" s="74">
        <v>60252</v>
      </c>
      <c r="B72" s="179" t="s">
        <v>881</v>
      </c>
      <c r="C72" s="74">
        <v>30023165</v>
      </c>
      <c r="D72" s="74" t="s">
        <v>881</v>
      </c>
      <c r="E72" s="174" t="s">
        <v>881</v>
      </c>
      <c r="F72" s="174" t="s">
        <v>698</v>
      </c>
      <c r="G72" s="174" t="s">
        <v>1058</v>
      </c>
      <c r="H72" s="174" t="s">
        <v>329</v>
      </c>
      <c r="I72" s="174" t="s">
        <v>354</v>
      </c>
      <c r="J72" s="174" t="s">
        <v>246</v>
      </c>
      <c r="K72" s="174" t="s">
        <v>334</v>
      </c>
      <c r="L72" s="174">
        <v>20062667</v>
      </c>
      <c r="M72" s="174" t="s">
        <v>73</v>
      </c>
      <c r="N72" s="174" t="s">
        <v>1101</v>
      </c>
      <c r="O72" s="174" t="s">
        <v>368</v>
      </c>
      <c r="P72" s="174" t="s">
        <v>367</v>
      </c>
      <c r="Q72" s="174" t="s">
        <v>507</v>
      </c>
      <c r="R72" s="174" t="s">
        <v>1196</v>
      </c>
      <c r="S72" s="174" t="s">
        <v>881</v>
      </c>
      <c r="T72" s="174">
        <v>2</v>
      </c>
      <c r="U72" s="184"/>
    </row>
    <row r="73" spans="1:21" ht="20.100000000000001" customHeight="1" x14ac:dyDescent="0.2">
      <c r="A73" s="74">
        <v>60253</v>
      </c>
      <c r="B73" s="179" t="s">
        <v>881</v>
      </c>
      <c r="C73" s="74">
        <v>30024120</v>
      </c>
      <c r="D73" s="74" t="s">
        <v>881</v>
      </c>
      <c r="E73" s="174" t="s">
        <v>870</v>
      </c>
      <c r="F73" s="174" t="s">
        <v>335</v>
      </c>
      <c r="G73" s="174" t="s">
        <v>1054</v>
      </c>
      <c r="H73" s="174" t="s">
        <v>330</v>
      </c>
      <c r="I73" s="174" t="s">
        <v>342</v>
      </c>
      <c r="J73" s="174" t="s">
        <v>324</v>
      </c>
      <c r="K73" s="174" t="s">
        <v>334</v>
      </c>
      <c r="L73" s="174" t="s">
        <v>621</v>
      </c>
      <c r="M73" s="185" t="s">
        <v>73</v>
      </c>
      <c r="N73" s="174" t="s">
        <v>624</v>
      </c>
      <c r="O73" s="174" t="s">
        <v>522</v>
      </c>
      <c r="P73" s="174" t="s">
        <v>382</v>
      </c>
      <c r="Q73" s="174" t="s">
        <v>412</v>
      </c>
      <c r="R73" s="174" t="s">
        <v>1196</v>
      </c>
      <c r="S73" s="174">
        <v>40056401</v>
      </c>
      <c r="T73" s="174">
        <v>3</v>
      </c>
      <c r="U73" s="184"/>
    </row>
    <row r="74" spans="1:21" ht="20.100000000000001" customHeight="1" x14ac:dyDescent="0.2">
      <c r="A74" s="74">
        <v>60254</v>
      </c>
      <c r="B74" s="179" t="s">
        <v>881</v>
      </c>
      <c r="C74" s="74">
        <v>30022777</v>
      </c>
      <c r="D74" s="74" t="s">
        <v>881</v>
      </c>
      <c r="E74" s="174" t="s">
        <v>881</v>
      </c>
      <c r="F74" s="174" t="s">
        <v>21</v>
      </c>
      <c r="G74" s="174" t="s">
        <v>1058</v>
      </c>
      <c r="H74" s="174" t="s">
        <v>329</v>
      </c>
      <c r="I74" s="174" t="s">
        <v>354</v>
      </c>
      <c r="J74" s="174" t="s">
        <v>246</v>
      </c>
      <c r="K74" s="174" t="s">
        <v>334</v>
      </c>
      <c r="L74" s="174">
        <v>20062524</v>
      </c>
      <c r="M74" s="174" t="s">
        <v>73</v>
      </c>
      <c r="N74" s="174" t="s">
        <v>887</v>
      </c>
      <c r="O74" s="174" t="s">
        <v>362</v>
      </c>
      <c r="P74" s="174" t="s">
        <v>1508</v>
      </c>
      <c r="Q74" s="174" t="s">
        <v>384</v>
      </c>
      <c r="R74" s="174" t="s">
        <v>1196</v>
      </c>
      <c r="S74" s="174" t="s">
        <v>881</v>
      </c>
      <c r="T74" s="174">
        <v>2</v>
      </c>
      <c r="U74" s="184"/>
    </row>
    <row r="75" spans="1:21" ht="20.100000000000001" customHeight="1" x14ac:dyDescent="0.2">
      <c r="A75" s="74">
        <v>60256</v>
      </c>
      <c r="B75" s="179" t="s">
        <v>881</v>
      </c>
      <c r="C75" s="74">
        <v>30022667</v>
      </c>
      <c r="D75" s="74" t="s">
        <v>881</v>
      </c>
      <c r="E75" s="174" t="s">
        <v>881</v>
      </c>
      <c r="F75" s="174" t="s">
        <v>21</v>
      </c>
      <c r="G75" s="174" t="s">
        <v>1058</v>
      </c>
      <c r="H75" s="174" t="s">
        <v>329</v>
      </c>
      <c r="I75" s="174" t="s">
        <v>354</v>
      </c>
      <c r="J75" s="174" t="s">
        <v>246</v>
      </c>
      <c r="K75" s="174" t="s">
        <v>334</v>
      </c>
      <c r="L75" s="174">
        <v>20062667</v>
      </c>
      <c r="M75" s="174" t="s">
        <v>73</v>
      </c>
      <c r="N75" s="174" t="s">
        <v>1101</v>
      </c>
      <c r="O75" s="174" t="s">
        <v>368</v>
      </c>
      <c r="P75" s="174" t="s">
        <v>367</v>
      </c>
      <c r="Q75" s="174" t="s">
        <v>507</v>
      </c>
      <c r="R75" s="174" t="s">
        <v>1196</v>
      </c>
      <c r="S75" s="174" t="s">
        <v>881</v>
      </c>
      <c r="T75" s="174">
        <v>2</v>
      </c>
      <c r="U75" s="184"/>
    </row>
    <row r="76" spans="1:21" ht="20.100000000000001" customHeight="1" x14ac:dyDescent="0.2">
      <c r="A76" s="74">
        <v>60257</v>
      </c>
      <c r="B76" s="179" t="s">
        <v>881</v>
      </c>
      <c r="C76" s="74">
        <v>30022664</v>
      </c>
      <c r="D76" s="74" t="s">
        <v>881</v>
      </c>
      <c r="E76" s="174" t="s">
        <v>881</v>
      </c>
      <c r="F76" s="174" t="s">
        <v>335</v>
      </c>
      <c r="G76" s="174" t="s">
        <v>1045</v>
      </c>
      <c r="H76" s="174" t="s">
        <v>330</v>
      </c>
      <c r="I76" s="174" t="s">
        <v>355</v>
      </c>
      <c r="J76" s="174" t="s">
        <v>356</v>
      </c>
      <c r="K76" s="174" t="s">
        <v>334</v>
      </c>
      <c r="L76" s="174">
        <v>20063442</v>
      </c>
      <c r="M76" s="174" t="s">
        <v>908</v>
      </c>
      <c r="N76" s="174" t="s">
        <v>99</v>
      </c>
      <c r="O76" s="174" t="s">
        <v>387</v>
      </c>
      <c r="P76" s="174" t="s">
        <v>383</v>
      </c>
      <c r="Q76" s="174" t="s">
        <v>412</v>
      </c>
      <c r="R76" s="174" t="s">
        <v>509</v>
      </c>
      <c r="S76" s="174" t="s">
        <v>881</v>
      </c>
      <c r="T76" s="174">
        <v>3</v>
      </c>
      <c r="U76" s="184"/>
    </row>
    <row r="77" spans="1:21" ht="20.100000000000001" customHeight="1" x14ac:dyDescent="0.2">
      <c r="A77" s="74">
        <v>60258</v>
      </c>
      <c r="B77" s="179" t="s">
        <v>881</v>
      </c>
      <c r="C77" s="74">
        <v>30022663</v>
      </c>
      <c r="D77" s="74" t="s">
        <v>881</v>
      </c>
      <c r="E77" s="174" t="s">
        <v>881</v>
      </c>
      <c r="F77" s="174" t="s">
        <v>335</v>
      </c>
      <c r="G77" s="174" t="s">
        <v>1065</v>
      </c>
      <c r="H77" s="174" t="s">
        <v>332</v>
      </c>
      <c r="I77" s="174" t="s">
        <v>541</v>
      </c>
      <c r="J77" s="174" t="s">
        <v>648</v>
      </c>
      <c r="K77" s="174" t="s">
        <v>334</v>
      </c>
      <c r="L77" s="174">
        <v>20063219</v>
      </c>
      <c r="M77" s="174" t="s">
        <v>73</v>
      </c>
      <c r="N77" s="174" t="s">
        <v>531</v>
      </c>
      <c r="O77" s="174" t="s">
        <v>388</v>
      </c>
      <c r="P77" s="174" t="s">
        <v>1496</v>
      </c>
      <c r="Q77" s="174" t="s">
        <v>406</v>
      </c>
      <c r="R77" s="174" t="s">
        <v>1196</v>
      </c>
      <c r="S77" s="174" t="s">
        <v>881</v>
      </c>
      <c r="T77" s="174">
        <v>4</v>
      </c>
      <c r="U77" s="184"/>
    </row>
    <row r="78" spans="1:21" ht="20.100000000000001" customHeight="1" x14ac:dyDescent="0.2">
      <c r="A78" s="74">
        <v>60259</v>
      </c>
      <c r="B78" s="179" t="s">
        <v>881</v>
      </c>
      <c r="C78" s="74">
        <v>30024275</v>
      </c>
      <c r="D78" s="74" t="s">
        <v>881</v>
      </c>
      <c r="E78" s="174" t="s">
        <v>617</v>
      </c>
      <c r="F78" s="174" t="s">
        <v>335</v>
      </c>
      <c r="G78" s="174" t="s">
        <v>1053</v>
      </c>
      <c r="H78" s="174" t="s">
        <v>332</v>
      </c>
      <c r="I78" s="174" t="s">
        <v>665</v>
      </c>
      <c r="J78" s="174" t="s">
        <v>666</v>
      </c>
      <c r="K78" s="174" t="s">
        <v>334</v>
      </c>
      <c r="L78" s="174">
        <v>20062393</v>
      </c>
      <c r="M78" s="185" t="s">
        <v>73</v>
      </c>
      <c r="N78" s="174" t="s">
        <v>683</v>
      </c>
      <c r="O78" s="174" t="s">
        <v>388</v>
      </c>
      <c r="P78" s="174" t="s">
        <v>1496</v>
      </c>
      <c r="Q78" s="174" t="s">
        <v>406</v>
      </c>
      <c r="R78" s="174" t="s">
        <v>1196</v>
      </c>
      <c r="S78" s="174" t="s">
        <v>881</v>
      </c>
      <c r="T78" s="174">
        <v>4</v>
      </c>
      <c r="U78" s="184"/>
    </row>
    <row r="79" spans="1:21" ht="20.100000000000001" customHeight="1" x14ac:dyDescent="0.2">
      <c r="A79" s="74">
        <v>60260</v>
      </c>
      <c r="B79" s="179" t="s">
        <v>881</v>
      </c>
      <c r="C79" s="74">
        <v>30024121</v>
      </c>
      <c r="D79" s="74" t="s">
        <v>881</v>
      </c>
      <c r="E79" s="174" t="s">
        <v>617</v>
      </c>
      <c r="F79" s="174" t="s">
        <v>335</v>
      </c>
      <c r="G79" s="174" t="s">
        <v>1047</v>
      </c>
      <c r="H79" s="174" t="s">
        <v>332</v>
      </c>
      <c r="I79" s="174" t="s">
        <v>603</v>
      </c>
      <c r="J79" s="174" t="s">
        <v>527</v>
      </c>
      <c r="K79" s="174" t="s">
        <v>334</v>
      </c>
      <c r="L79" s="174">
        <v>20062458</v>
      </c>
      <c r="M79" s="185" t="s">
        <v>73</v>
      </c>
      <c r="N79" s="174" t="s">
        <v>881</v>
      </c>
      <c r="O79" s="174" t="s">
        <v>462</v>
      </c>
      <c r="P79" s="174" t="s">
        <v>461</v>
      </c>
      <c r="Q79" s="174" t="s">
        <v>412</v>
      </c>
      <c r="R79" s="174" t="s">
        <v>509</v>
      </c>
      <c r="S79" s="174">
        <v>40056401</v>
      </c>
      <c r="T79" s="174">
        <v>3</v>
      </c>
      <c r="U79" s="184"/>
    </row>
    <row r="80" spans="1:21" ht="20.100000000000001" customHeight="1" x14ac:dyDescent="0.2">
      <c r="A80" s="74">
        <v>60261</v>
      </c>
      <c r="B80" s="179" t="s">
        <v>881</v>
      </c>
      <c r="C80" s="74">
        <v>30024122</v>
      </c>
      <c r="D80" s="74" t="s">
        <v>881</v>
      </c>
      <c r="E80" s="174" t="s">
        <v>871</v>
      </c>
      <c r="F80" s="174" t="s">
        <v>335</v>
      </c>
      <c r="G80" s="174" t="s">
        <v>1045</v>
      </c>
      <c r="H80" s="174" t="s">
        <v>330</v>
      </c>
      <c r="I80" s="174" t="s">
        <v>355</v>
      </c>
      <c r="J80" s="174" t="s">
        <v>356</v>
      </c>
      <c r="K80" s="174" t="s">
        <v>334</v>
      </c>
      <c r="L80" s="174">
        <v>20062955</v>
      </c>
      <c r="M80" s="185" t="s">
        <v>73</v>
      </c>
      <c r="N80" s="174" t="s">
        <v>669</v>
      </c>
      <c r="O80" s="174" t="s">
        <v>661</v>
      </c>
      <c r="P80" s="174" t="s">
        <v>551</v>
      </c>
      <c r="Q80" s="174" t="s">
        <v>412</v>
      </c>
      <c r="R80" s="174" t="s">
        <v>509</v>
      </c>
      <c r="S80" s="174" t="s">
        <v>881</v>
      </c>
      <c r="T80" s="174">
        <v>3</v>
      </c>
      <c r="U80" s="184"/>
    </row>
    <row r="81" spans="1:21" ht="20.100000000000001" customHeight="1" x14ac:dyDescent="0.2">
      <c r="A81" s="74">
        <v>60262</v>
      </c>
      <c r="B81" s="179" t="s">
        <v>881</v>
      </c>
      <c r="C81" s="74">
        <v>30024060</v>
      </c>
      <c r="D81" s="74" t="s">
        <v>881</v>
      </c>
      <c r="E81" s="174" t="s">
        <v>871</v>
      </c>
      <c r="F81" s="174" t="s">
        <v>335</v>
      </c>
      <c r="G81" s="174" t="s">
        <v>1045</v>
      </c>
      <c r="H81" s="174" t="s">
        <v>330</v>
      </c>
      <c r="I81" s="174" t="s">
        <v>355</v>
      </c>
      <c r="J81" s="174" t="s">
        <v>356</v>
      </c>
      <c r="K81" s="174" t="s">
        <v>334</v>
      </c>
      <c r="L81" s="174">
        <v>20062955</v>
      </c>
      <c r="M81" s="185" t="s">
        <v>73</v>
      </c>
      <c r="N81" s="174" t="s">
        <v>669</v>
      </c>
      <c r="O81" s="174" t="s">
        <v>550</v>
      </c>
      <c r="P81" s="174" t="s">
        <v>551</v>
      </c>
      <c r="Q81" s="174" t="s">
        <v>412</v>
      </c>
      <c r="R81" s="174" t="s">
        <v>509</v>
      </c>
      <c r="S81" s="174">
        <v>40059588</v>
      </c>
      <c r="T81" s="174">
        <v>3</v>
      </c>
      <c r="U81" s="184"/>
    </row>
    <row r="82" spans="1:21" ht="20.100000000000001" customHeight="1" x14ac:dyDescent="0.2">
      <c r="A82" s="74">
        <v>60274</v>
      </c>
      <c r="B82" s="179" t="s">
        <v>881</v>
      </c>
      <c r="C82" s="74">
        <v>30024123</v>
      </c>
      <c r="D82" s="74" t="s">
        <v>881</v>
      </c>
      <c r="E82" s="174" t="s">
        <v>872</v>
      </c>
      <c r="F82" s="174" t="s">
        <v>335</v>
      </c>
      <c r="G82" s="174" t="s">
        <v>1043</v>
      </c>
      <c r="H82" s="174" t="s">
        <v>332</v>
      </c>
      <c r="I82" s="174" t="s">
        <v>541</v>
      </c>
      <c r="J82" s="174" t="s">
        <v>648</v>
      </c>
      <c r="K82" s="174" t="s">
        <v>334</v>
      </c>
      <c r="L82" s="174">
        <v>20062949</v>
      </c>
      <c r="M82" s="185" t="s">
        <v>73</v>
      </c>
      <c r="N82" s="174" t="s">
        <v>683</v>
      </c>
      <c r="O82" s="174" t="s">
        <v>388</v>
      </c>
      <c r="P82" s="174" t="s">
        <v>1496</v>
      </c>
      <c r="Q82" s="174" t="s">
        <v>406</v>
      </c>
      <c r="R82" s="174" t="s">
        <v>1196</v>
      </c>
      <c r="S82" s="174">
        <v>40057145</v>
      </c>
      <c r="T82" s="174">
        <v>4</v>
      </c>
      <c r="U82" s="184"/>
    </row>
    <row r="83" spans="1:21" ht="20.100000000000001" customHeight="1" x14ac:dyDescent="0.2">
      <c r="A83" s="74">
        <v>60281</v>
      </c>
      <c r="B83" s="179" t="s">
        <v>881</v>
      </c>
      <c r="C83" s="74" t="s">
        <v>947</v>
      </c>
      <c r="D83" s="74" t="s">
        <v>881</v>
      </c>
      <c r="E83" s="174" t="s">
        <v>874</v>
      </c>
      <c r="F83" s="174" t="s">
        <v>328</v>
      </c>
      <c r="G83" s="174" t="s">
        <v>1046</v>
      </c>
      <c r="H83" s="174" t="s">
        <v>329</v>
      </c>
      <c r="I83" s="174" t="s">
        <v>354</v>
      </c>
      <c r="J83" s="174" t="s">
        <v>246</v>
      </c>
      <c r="K83" s="174" t="s">
        <v>334</v>
      </c>
      <c r="L83" s="174">
        <v>20062667</v>
      </c>
      <c r="M83" s="185" t="s">
        <v>73</v>
      </c>
      <c r="N83" s="174" t="s">
        <v>1101</v>
      </c>
      <c r="O83" s="174" t="s">
        <v>368</v>
      </c>
      <c r="P83" s="174" t="s">
        <v>367</v>
      </c>
      <c r="Q83" s="174" t="s">
        <v>507</v>
      </c>
      <c r="R83" s="174" t="s">
        <v>1196</v>
      </c>
      <c r="S83" s="174">
        <v>40058940</v>
      </c>
      <c r="T83" s="174">
        <v>2</v>
      </c>
      <c r="U83" s="184"/>
    </row>
    <row r="84" spans="1:21" ht="20.100000000000001" customHeight="1" x14ac:dyDescent="0.2">
      <c r="A84" s="74">
        <v>60283</v>
      </c>
      <c r="B84" s="179" t="s">
        <v>881</v>
      </c>
      <c r="C84" s="74">
        <v>30024124</v>
      </c>
      <c r="D84" s="74" t="s">
        <v>881</v>
      </c>
      <c r="E84" s="174" t="s">
        <v>870</v>
      </c>
      <c r="F84" s="174" t="s">
        <v>335</v>
      </c>
      <c r="G84" s="174" t="s">
        <v>1055</v>
      </c>
      <c r="H84" s="174" t="s">
        <v>326</v>
      </c>
      <c r="I84" s="174" t="s">
        <v>523</v>
      </c>
      <c r="J84" s="174" t="s">
        <v>543</v>
      </c>
      <c r="K84" s="174" t="s">
        <v>334</v>
      </c>
      <c r="L84" s="174">
        <v>20062971</v>
      </c>
      <c r="M84" s="185" t="s">
        <v>623</v>
      </c>
      <c r="N84" s="174" t="s">
        <v>544</v>
      </c>
      <c r="O84" s="174" t="s">
        <v>610</v>
      </c>
      <c r="P84" s="174" t="s">
        <v>385</v>
      </c>
      <c r="Q84" s="174" t="s">
        <v>412</v>
      </c>
      <c r="R84" s="174" t="s">
        <v>1196</v>
      </c>
      <c r="S84" s="174">
        <v>40061308</v>
      </c>
      <c r="T84" s="174">
        <v>3</v>
      </c>
      <c r="U84" s="184"/>
    </row>
    <row r="85" spans="1:21" ht="20.100000000000001" customHeight="1" x14ac:dyDescent="0.2">
      <c r="A85" s="74">
        <v>60285</v>
      </c>
      <c r="B85" s="179" t="s">
        <v>881</v>
      </c>
      <c r="C85" s="74">
        <v>30024125</v>
      </c>
      <c r="D85" s="74" t="s">
        <v>881</v>
      </c>
      <c r="E85" s="174" t="s">
        <v>878</v>
      </c>
      <c r="F85" s="174" t="s">
        <v>701</v>
      </c>
      <c r="G85" s="174" t="s">
        <v>1046</v>
      </c>
      <c r="H85" s="174" t="s">
        <v>329</v>
      </c>
      <c r="I85" s="174" t="s">
        <v>354</v>
      </c>
      <c r="J85" s="174" t="s">
        <v>246</v>
      </c>
      <c r="K85" s="174" t="s">
        <v>334</v>
      </c>
      <c r="L85" s="174">
        <v>20062667</v>
      </c>
      <c r="M85" s="185" t="s">
        <v>73</v>
      </c>
      <c r="N85" s="174" t="s">
        <v>1101</v>
      </c>
      <c r="O85" s="174" t="s">
        <v>368</v>
      </c>
      <c r="P85" s="174" t="s">
        <v>367</v>
      </c>
      <c r="Q85" s="174" t="s">
        <v>507</v>
      </c>
      <c r="R85" s="174" t="s">
        <v>1196</v>
      </c>
      <c r="S85" s="174" t="s">
        <v>881</v>
      </c>
      <c r="T85" s="174">
        <v>2</v>
      </c>
      <c r="U85" s="184"/>
    </row>
    <row r="86" spans="1:21" ht="20.100000000000001" customHeight="1" x14ac:dyDescent="0.2">
      <c r="A86" s="74">
        <v>60289</v>
      </c>
      <c r="B86" s="179" t="s">
        <v>881</v>
      </c>
      <c r="C86" s="74">
        <v>30024126</v>
      </c>
      <c r="D86" s="74" t="s">
        <v>881</v>
      </c>
      <c r="E86" s="174" t="s">
        <v>872</v>
      </c>
      <c r="F86" s="174" t="s">
        <v>335</v>
      </c>
      <c r="G86" s="174" t="s">
        <v>1035</v>
      </c>
      <c r="H86" s="174" t="s">
        <v>326</v>
      </c>
      <c r="I86" s="174" t="s">
        <v>652</v>
      </c>
      <c r="J86" s="174" t="s">
        <v>653</v>
      </c>
      <c r="K86" s="174" t="s">
        <v>334</v>
      </c>
      <c r="L86" s="174">
        <v>20062423</v>
      </c>
      <c r="M86" s="185" t="s">
        <v>73</v>
      </c>
      <c r="N86" s="174" t="s">
        <v>881</v>
      </c>
      <c r="O86" s="174" t="s">
        <v>654</v>
      </c>
      <c r="P86" s="174" t="s">
        <v>881</v>
      </c>
      <c r="Q86" s="174" t="s">
        <v>489</v>
      </c>
      <c r="R86" s="174" t="s">
        <v>1196</v>
      </c>
      <c r="S86" s="174" t="s">
        <v>881</v>
      </c>
      <c r="T86" s="174">
        <v>3</v>
      </c>
      <c r="U86" s="184"/>
    </row>
    <row r="87" spans="1:21" ht="20.100000000000001" customHeight="1" x14ac:dyDescent="0.2">
      <c r="A87" s="74">
        <v>60294</v>
      </c>
      <c r="B87" s="179" t="s">
        <v>881</v>
      </c>
      <c r="C87" s="74">
        <v>30024061</v>
      </c>
      <c r="D87" s="74" t="s">
        <v>881</v>
      </c>
      <c r="E87" s="174" t="s">
        <v>870</v>
      </c>
      <c r="F87" s="174" t="s">
        <v>328</v>
      </c>
      <c r="G87" s="174" t="s">
        <v>1044</v>
      </c>
      <c r="H87" s="174" t="s">
        <v>330</v>
      </c>
      <c r="I87" s="174" t="s">
        <v>635</v>
      </c>
      <c r="J87" s="174" t="s">
        <v>636</v>
      </c>
      <c r="K87" s="174" t="s">
        <v>334</v>
      </c>
      <c r="L87" s="174">
        <v>20063399</v>
      </c>
      <c r="M87" s="185" t="s">
        <v>908</v>
      </c>
      <c r="N87" s="174" t="s">
        <v>638</v>
      </c>
      <c r="O87" s="174" t="s">
        <v>637</v>
      </c>
      <c r="P87" s="174" t="s">
        <v>1507</v>
      </c>
      <c r="Q87" s="174" t="s">
        <v>384</v>
      </c>
      <c r="R87" s="174" t="s">
        <v>1196</v>
      </c>
      <c r="S87" s="174" t="s">
        <v>881</v>
      </c>
      <c r="T87" s="174">
        <v>4</v>
      </c>
      <c r="U87" s="184"/>
    </row>
    <row r="88" spans="1:21" ht="20.100000000000001" customHeight="1" x14ac:dyDescent="0.2">
      <c r="A88" s="74">
        <v>60300</v>
      </c>
      <c r="B88" s="179" t="s">
        <v>881</v>
      </c>
      <c r="C88" s="74">
        <v>30023686</v>
      </c>
      <c r="D88" s="74" t="s">
        <v>881</v>
      </c>
      <c r="E88" s="174" t="s">
        <v>881</v>
      </c>
      <c r="F88" s="174" t="s">
        <v>335</v>
      </c>
      <c r="G88" s="174" t="s">
        <v>1041</v>
      </c>
      <c r="H88" s="174" t="s">
        <v>332</v>
      </c>
      <c r="I88" s="174" t="s">
        <v>351</v>
      </c>
      <c r="J88" s="174" t="s">
        <v>37</v>
      </c>
      <c r="K88" s="174" t="s">
        <v>334</v>
      </c>
      <c r="L88" s="174">
        <v>20063364</v>
      </c>
      <c r="M88" s="174" t="s">
        <v>73</v>
      </c>
      <c r="N88" s="174" t="s">
        <v>881</v>
      </c>
      <c r="O88" s="174" t="s">
        <v>457</v>
      </c>
      <c r="P88" s="174" t="s">
        <v>382</v>
      </c>
      <c r="Q88" s="174" t="s">
        <v>412</v>
      </c>
      <c r="R88" s="174" t="s">
        <v>1196</v>
      </c>
      <c r="S88" s="174" t="s">
        <v>881</v>
      </c>
      <c r="T88" s="174">
        <v>3</v>
      </c>
      <c r="U88" s="184"/>
    </row>
    <row r="89" spans="1:21" ht="20.100000000000001" customHeight="1" x14ac:dyDescent="0.2">
      <c r="A89" s="74">
        <v>60301</v>
      </c>
      <c r="B89" s="179" t="s">
        <v>881</v>
      </c>
      <c r="C89" s="74">
        <v>30024276</v>
      </c>
      <c r="D89" s="74" t="s">
        <v>881</v>
      </c>
      <c r="E89" s="174" t="s">
        <v>874</v>
      </c>
      <c r="F89" s="174" t="s">
        <v>701</v>
      </c>
      <c r="G89" s="174" t="s">
        <v>1046</v>
      </c>
      <c r="H89" s="174" t="s">
        <v>329</v>
      </c>
      <c r="I89" s="174" t="s">
        <v>354</v>
      </c>
      <c r="J89" s="174" t="s">
        <v>246</v>
      </c>
      <c r="K89" s="174" t="s">
        <v>334</v>
      </c>
      <c r="L89" s="174">
        <v>20062667</v>
      </c>
      <c r="M89" s="185" t="s">
        <v>73</v>
      </c>
      <c r="N89" s="174" t="s">
        <v>1101</v>
      </c>
      <c r="O89" s="174" t="s">
        <v>368</v>
      </c>
      <c r="P89" s="174" t="s">
        <v>367</v>
      </c>
      <c r="Q89" s="174" t="s">
        <v>507</v>
      </c>
      <c r="R89" s="174" t="s">
        <v>1196</v>
      </c>
      <c r="S89" s="174" t="s">
        <v>881</v>
      </c>
      <c r="T89" s="174">
        <v>2</v>
      </c>
      <c r="U89" s="184"/>
    </row>
    <row r="90" spans="1:21" ht="20.100000000000001" customHeight="1" x14ac:dyDescent="0.2">
      <c r="A90" s="74">
        <v>60318</v>
      </c>
      <c r="B90" s="179" t="s">
        <v>881</v>
      </c>
      <c r="C90" s="74">
        <v>30024127</v>
      </c>
      <c r="D90" s="74" t="s">
        <v>881</v>
      </c>
      <c r="E90" s="174" t="s">
        <v>617</v>
      </c>
      <c r="F90" s="174" t="s">
        <v>671</v>
      </c>
      <c r="G90" s="174" t="s">
        <v>1045</v>
      </c>
      <c r="H90" s="174" t="s">
        <v>332</v>
      </c>
      <c r="I90" s="174" t="s">
        <v>355</v>
      </c>
      <c r="J90" s="174" t="s">
        <v>356</v>
      </c>
      <c r="K90" s="174" t="s">
        <v>334</v>
      </c>
      <c r="L90" s="174" t="s">
        <v>688</v>
      </c>
      <c r="M90" s="185" t="s">
        <v>73</v>
      </c>
      <c r="N90" s="174" t="s">
        <v>881</v>
      </c>
      <c r="O90" s="174" t="s">
        <v>387</v>
      </c>
      <c r="P90" s="174" t="s">
        <v>383</v>
      </c>
      <c r="Q90" s="174" t="s">
        <v>412</v>
      </c>
      <c r="R90" s="174" t="s">
        <v>509</v>
      </c>
      <c r="S90" s="174" t="s">
        <v>881</v>
      </c>
      <c r="T90" s="174">
        <v>3</v>
      </c>
      <c r="U90" s="184"/>
    </row>
    <row r="91" spans="1:21" ht="20.100000000000001" customHeight="1" x14ac:dyDescent="0.2">
      <c r="A91" s="74">
        <v>60320</v>
      </c>
      <c r="B91" s="179" t="s">
        <v>881</v>
      </c>
      <c r="C91" s="74">
        <v>30024128</v>
      </c>
      <c r="D91" s="74" t="s">
        <v>881</v>
      </c>
      <c r="E91" s="174" t="s">
        <v>870</v>
      </c>
      <c r="F91" s="174" t="s">
        <v>335</v>
      </c>
      <c r="G91" s="174" t="s">
        <v>987</v>
      </c>
      <c r="H91" s="174" t="s">
        <v>330</v>
      </c>
      <c r="I91" s="174" t="s">
        <v>523</v>
      </c>
      <c r="J91" s="174" t="s">
        <v>543</v>
      </c>
      <c r="K91" s="174" t="s">
        <v>334</v>
      </c>
      <c r="L91" s="174">
        <v>20062971</v>
      </c>
      <c r="M91" s="185" t="s">
        <v>73</v>
      </c>
      <c r="N91" s="174" t="s">
        <v>552</v>
      </c>
      <c r="O91" s="174" t="s">
        <v>610</v>
      </c>
      <c r="P91" s="174" t="s">
        <v>385</v>
      </c>
      <c r="Q91" s="174" t="s">
        <v>412</v>
      </c>
      <c r="R91" s="174" t="s">
        <v>1196</v>
      </c>
      <c r="S91" s="174">
        <v>40056401</v>
      </c>
      <c r="T91" s="174">
        <v>3</v>
      </c>
      <c r="U91" s="184"/>
    </row>
    <row r="92" spans="1:21" ht="20.100000000000001" customHeight="1" x14ac:dyDescent="0.2">
      <c r="A92" s="74">
        <v>60321</v>
      </c>
      <c r="B92" s="179" t="s">
        <v>881</v>
      </c>
      <c r="C92" s="74">
        <v>30024129</v>
      </c>
      <c r="D92" s="74" t="s">
        <v>881</v>
      </c>
      <c r="E92" s="174" t="s">
        <v>870</v>
      </c>
      <c r="F92" s="174" t="s">
        <v>335</v>
      </c>
      <c r="G92" s="174" t="s">
        <v>1041</v>
      </c>
      <c r="H92" s="174" t="s">
        <v>330</v>
      </c>
      <c r="I92" s="174" t="s">
        <v>355</v>
      </c>
      <c r="J92" s="174" t="s">
        <v>356</v>
      </c>
      <c r="K92" s="174" t="s">
        <v>334</v>
      </c>
      <c r="L92" s="174">
        <v>20062971</v>
      </c>
      <c r="M92" s="185" t="s">
        <v>73</v>
      </c>
      <c r="N92" s="174" t="s">
        <v>544</v>
      </c>
      <c r="O92" s="174" t="s">
        <v>610</v>
      </c>
      <c r="P92" s="174" t="s">
        <v>385</v>
      </c>
      <c r="Q92" s="174" t="s">
        <v>412</v>
      </c>
      <c r="R92" s="174" t="s">
        <v>1196</v>
      </c>
      <c r="S92" s="174">
        <v>40056401</v>
      </c>
      <c r="T92" s="174">
        <v>3</v>
      </c>
      <c r="U92" s="184"/>
    </row>
    <row r="93" spans="1:21" ht="20.100000000000001" customHeight="1" x14ac:dyDescent="0.2">
      <c r="A93" s="74">
        <v>60324</v>
      </c>
      <c r="B93" s="179" t="s">
        <v>881</v>
      </c>
      <c r="C93" s="74">
        <v>30024130</v>
      </c>
      <c r="D93" s="74" t="s">
        <v>881</v>
      </c>
      <c r="E93" s="174" t="s">
        <v>871</v>
      </c>
      <c r="F93" s="174" t="s">
        <v>335</v>
      </c>
      <c r="G93" s="174" t="s">
        <v>1041</v>
      </c>
      <c r="H93" s="174" t="s">
        <v>330</v>
      </c>
      <c r="I93" s="174" t="s">
        <v>355</v>
      </c>
      <c r="J93" s="174" t="s">
        <v>356</v>
      </c>
      <c r="K93" s="174" t="s">
        <v>334</v>
      </c>
      <c r="L93" s="174">
        <v>20063299</v>
      </c>
      <c r="M93" s="185" t="s">
        <v>73</v>
      </c>
      <c r="N93" s="174" t="s">
        <v>544</v>
      </c>
      <c r="O93" s="174" t="s">
        <v>601</v>
      </c>
      <c r="P93" s="174" t="s">
        <v>419</v>
      </c>
      <c r="Q93" s="174" t="s">
        <v>412</v>
      </c>
      <c r="R93" s="174" t="s">
        <v>509</v>
      </c>
      <c r="S93" s="174">
        <v>40059588</v>
      </c>
      <c r="T93" s="174">
        <v>3</v>
      </c>
      <c r="U93" s="184"/>
    </row>
    <row r="94" spans="1:21" ht="20.100000000000001" customHeight="1" x14ac:dyDescent="0.2">
      <c r="A94" s="74">
        <v>60325</v>
      </c>
      <c r="B94" s="179" t="s">
        <v>881</v>
      </c>
      <c r="C94" s="74">
        <v>30024131</v>
      </c>
      <c r="D94" s="74" t="s">
        <v>881</v>
      </c>
      <c r="E94" s="174" t="s">
        <v>871</v>
      </c>
      <c r="F94" s="174" t="s">
        <v>335</v>
      </c>
      <c r="G94" s="174" t="s">
        <v>1070</v>
      </c>
      <c r="H94" s="174" t="s">
        <v>326</v>
      </c>
      <c r="I94" s="174" t="s">
        <v>523</v>
      </c>
      <c r="J94" s="174" t="s">
        <v>543</v>
      </c>
      <c r="K94" s="174" t="s">
        <v>334</v>
      </c>
      <c r="L94" s="174">
        <v>20063299</v>
      </c>
      <c r="M94" s="185" t="s">
        <v>73</v>
      </c>
      <c r="N94" s="174" t="s">
        <v>544</v>
      </c>
      <c r="O94" s="174" t="s">
        <v>601</v>
      </c>
      <c r="P94" s="174" t="s">
        <v>419</v>
      </c>
      <c r="Q94" s="174" t="s">
        <v>412</v>
      </c>
      <c r="R94" s="174" t="s">
        <v>509</v>
      </c>
      <c r="S94" s="174">
        <v>40059588</v>
      </c>
      <c r="T94" s="174">
        <v>3</v>
      </c>
      <c r="U94" s="184"/>
    </row>
    <row r="95" spans="1:21" ht="20.100000000000001" customHeight="1" x14ac:dyDescent="0.2">
      <c r="A95" s="74">
        <v>60326</v>
      </c>
      <c r="B95" s="179" t="s">
        <v>881</v>
      </c>
      <c r="C95" s="74">
        <v>30024132</v>
      </c>
      <c r="D95" s="74" t="s">
        <v>881</v>
      </c>
      <c r="E95" s="174" t="s">
        <v>870</v>
      </c>
      <c r="F95" s="174" t="s">
        <v>335</v>
      </c>
      <c r="G95" s="174" t="s">
        <v>1045</v>
      </c>
      <c r="H95" s="174" t="s">
        <v>330</v>
      </c>
      <c r="I95" s="174" t="s">
        <v>355</v>
      </c>
      <c r="J95" s="174" t="s">
        <v>356</v>
      </c>
      <c r="K95" s="174" t="s">
        <v>334</v>
      </c>
      <c r="L95" s="174">
        <v>20062970</v>
      </c>
      <c r="M95" s="185" t="s">
        <v>73</v>
      </c>
      <c r="N95" s="174" t="s">
        <v>544</v>
      </c>
      <c r="O95" s="174" t="s">
        <v>524</v>
      </c>
      <c r="P95" s="174" t="s">
        <v>419</v>
      </c>
      <c r="Q95" s="174" t="s">
        <v>412</v>
      </c>
      <c r="R95" s="174" t="s">
        <v>509</v>
      </c>
      <c r="S95" s="174">
        <v>40057143</v>
      </c>
      <c r="T95" s="174">
        <v>3</v>
      </c>
      <c r="U95" s="184"/>
    </row>
    <row r="96" spans="1:21" ht="20.100000000000001" customHeight="1" x14ac:dyDescent="0.2">
      <c r="A96" s="74">
        <v>60328</v>
      </c>
      <c r="B96" s="179" t="s">
        <v>881</v>
      </c>
      <c r="C96" s="74">
        <v>30023904</v>
      </c>
      <c r="D96" s="74" t="s">
        <v>881</v>
      </c>
      <c r="E96" s="174" t="s">
        <v>870</v>
      </c>
      <c r="F96" s="174" t="s">
        <v>335</v>
      </c>
      <c r="G96" s="153" t="s">
        <v>1004</v>
      </c>
      <c r="H96" s="174" t="s">
        <v>330</v>
      </c>
      <c r="I96" s="174" t="s">
        <v>523</v>
      </c>
      <c r="J96" s="174" t="s">
        <v>543</v>
      </c>
      <c r="K96" s="174" t="s">
        <v>334</v>
      </c>
      <c r="L96" s="174">
        <v>20063663</v>
      </c>
      <c r="M96" s="185" t="s">
        <v>73</v>
      </c>
      <c r="N96" s="174" t="s">
        <v>520</v>
      </c>
      <c r="O96" s="174" t="s">
        <v>524</v>
      </c>
      <c r="P96" s="174" t="s">
        <v>419</v>
      </c>
      <c r="Q96" s="174" t="s">
        <v>412</v>
      </c>
      <c r="R96" s="174" t="s">
        <v>509</v>
      </c>
      <c r="S96" s="174" t="s">
        <v>881</v>
      </c>
      <c r="T96" s="174">
        <v>3</v>
      </c>
      <c r="U96" s="184"/>
    </row>
    <row r="97" spans="1:21" ht="20.100000000000001" customHeight="1" x14ac:dyDescent="0.2">
      <c r="A97" s="74">
        <v>60329</v>
      </c>
      <c r="B97" s="179" t="s">
        <v>881</v>
      </c>
      <c r="C97" s="74">
        <v>30023687</v>
      </c>
      <c r="D97" s="74" t="s">
        <v>881</v>
      </c>
      <c r="E97" s="174" t="s">
        <v>881</v>
      </c>
      <c r="F97" s="174" t="s">
        <v>335</v>
      </c>
      <c r="G97" s="174" t="s">
        <v>987</v>
      </c>
      <c r="H97" s="174" t="s">
        <v>330</v>
      </c>
      <c r="I97" s="174" t="s">
        <v>355</v>
      </c>
      <c r="J97" s="174" t="s">
        <v>356</v>
      </c>
      <c r="K97" s="174" t="s">
        <v>334</v>
      </c>
      <c r="L97" s="174">
        <v>20063526</v>
      </c>
      <c r="M97" s="185" t="s">
        <v>907</v>
      </c>
      <c r="N97" s="174" t="s">
        <v>512</v>
      </c>
      <c r="O97" s="174" t="s">
        <v>501</v>
      </c>
      <c r="P97" s="174" t="s">
        <v>385</v>
      </c>
      <c r="Q97" s="174" t="s">
        <v>412</v>
      </c>
      <c r="R97" s="174" t="s">
        <v>1196</v>
      </c>
      <c r="S97" s="174" t="s">
        <v>881</v>
      </c>
      <c r="T97" s="174">
        <v>3</v>
      </c>
      <c r="U97" s="184"/>
    </row>
    <row r="98" spans="1:21" ht="20.100000000000001" customHeight="1" x14ac:dyDescent="0.2">
      <c r="A98" s="74">
        <v>60330</v>
      </c>
      <c r="B98" s="179" t="s">
        <v>881</v>
      </c>
      <c r="C98" s="74">
        <v>30024043</v>
      </c>
      <c r="D98" s="74" t="s">
        <v>881</v>
      </c>
      <c r="E98" s="174" t="s">
        <v>617</v>
      </c>
      <c r="F98" s="174" t="s">
        <v>335</v>
      </c>
      <c r="G98" s="174" t="s">
        <v>1045</v>
      </c>
      <c r="H98" s="174" t="s">
        <v>330</v>
      </c>
      <c r="I98" s="174" t="s">
        <v>355</v>
      </c>
      <c r="J98" s="174" t="s">
        <v>356</v>
      </c>
      <c r="K98" s="174" t="s">
        <v>334</v>
      </c>
      <c r="L98" s="174">
        <v>20062972</v>
      </c>
      <c r="M98" s="174" t="s">
        <v>73</v>
      </c>
      <c r="N98" s="174" t="s">
        <v>552</v>
      </c>
      <c r="O98" s="174" t="s">
        <v>501</v>
      </c>
      <c r="P98" s="174" t="s">
        <v>385</v>
      </c>
      <c r="Q98" s="174" t="s">
        <v>412</v>
      </c>
      <c r="R98" s="174" t="s">
        <v>1196</v>
      </c>
      <c r="S98" s="174" t="s">
        <v>881</v>
      </c>
      <c r="T98" s="174">
        <v>3</v>
      </c>
      <c r="U98" s="184"/>
    </row>
    <row r="99" spans="1:21" ht="20.100000000000001" customHeight="1" x14ac:dyDescent="0.2">
      <c r="A99" s="74">
        <v>60337</v>
      </c>
      <c r="B99" s="179" t="s">
        <v>881</v>
      </c>
      <c r="C99" s="74">
        <v>30024133</v>
      </c>
      <c r="D99" s="74" t="s">
        <v>881</v>
      </c>
      <c r="E99" s="174" t="s">
        <v>617</v>
      </c>
      <c r="F99" s="174" t="s">
        <v>335</v>
      </c>
      <c r="G99" s="174" t="s">
        <v>1041</v>
      </c>
      <c r="H99" s="174" t="s">
        <v>332</v>
      </c>
      <c r="I99" s="174" t="s">
        <v>662</v>
      </c>
      <c r="J99" s="174" t="s">
        <v>663</v>
      </c>
      <c r="K99" s="174" t="s">
        <v>334</v>
      </c>
      <c r="L99" s="174">
        <v>20062398</v>
      </c>
      <c r="M99" s="185" t="s">
        <v>73</v>
      </c>
      <c r="N99" s="174" t="s">
        <v>634</v>
      </c>
      <c r="O99" s="174" t="s">
        <v>391</v>
      </c>
      <c r="P99" s="174" t="s">
        <v>422</v>
      </c>
      <c r="Q99" s="174" t="s">
        <v>412</v>
      </c>
      <c r="R99" s="174" t="s">
        <v>509</v>
      </c>
      <c r="S99" s="174" t="s">
        <v>881</v>
      </c>
      <c r="T99" s="174">
        <v>3</v>
      </c>
      <c r="U99" s="184"/>
    </row>
    <row r="100" spans="1:21" ht="20.100000000000001" customHeight="1" x14ac:dyDescent="0.2">
      <c r="A100" s="74">
        <v>60350</v>
      </c>
      <c r="B100" s="179" t="s">
        <v>881</v>
      </c>
      <c r="C100" s="74">
        <v>30023905</v>
      </c>
      <c r="D100" s="74" t="s">
        <v>881</v>
      </c>
      <c r="E100" s="174" t="s">
        <v>617</v>
      </c>
      <c r="F100" s="174" t="s">
        <v>335</v>
      </c>
      <c r="G100" s="174" t="s">
        <v>1054</v>
      </c>
      <c r="H100" s="174" t="s">
        <v>330</v>
      </c>
      <c r="I100" s="174" t="s">
        <v>519</v>
      </c>
      <c r="J100" s="174" t="s">
        <v>101</v>
      </c>
      <c r="K100" s="174" t="s">
        <v>334</v>
      </c>
      <c r="L100" s="174">
        <v>20064574</v>
      </c>
      <c r="M100" s="185" t="s">
        <v>73</v>
      </c>
      <c r="N100" s="174" t="s">
        <v>520</v>
      </c>
      <c r="O100" s="174" t="s">
        <v>418</v>
      </c>
      <c r="P100" s="174" t="s">
        <v>419</v>
      </c>
      <c r="Q100" s="174" t="s">
        <v>412</v>
      </c>
      <c r="R100" s="174" t="s">
        <v>509</v>
      </c>
      <c r="S100" s="174" t="s">
        <v>881</v>
      </c>
      <c r="T100" s="174">
        <v>3</v>
      </c>
      <c r="U100" s="184"/>
    </row>
    <row r="101" spans="1:21" ht="20.100000000000001" customHeight="1" x14ac:dyDescent="0.2">
      <c r="A101" s="74">
        <v>60359</v>
      </c>
      <c r="B101" s="179" t="s">
        <v>881</v>
      </c>
      <c r="C101" s="74">
        <v>30024134</v>
      </c>
      <c r="D101" s="74" t="s">
        <v>881</v>
      </c>
      <c r="E101" s="174" t="s">
        <v>871</v>
      </c>
      <c r="F101" s="174" t="s">
        <v>335</v>
      </c>
      <c r="G101" s="174" t="s">
        <v>1045</v>
      </c>
      <c r="H101" s="174" t="s">
        <v>330</v>
      </c>
      <c r="I101" s="174" t="s">
        <v>355</v>
      </c>
      <c r="J101" s="174" t="s">
        <v>356</v>
      </c>
      <c r="K101" s="174" t="s">
        <v>334</v>
      </c>
      <c r="L101" s="174">
        <v>20062955</v>
      </c>
      <c r="M101" s="185" t="s">
        <v>73</v>
      </c>
      <c r="N101" s="174" t="s">
        <v>634</v>
      </c>
      <c r="O101" s="174" t="s">
        <v>550</v>
      </c>
      <c r="P101" s="174" t="s">
        <v>551</v>
      </c>
      <c r="Q101" s="174" t="s">
        <v>412</v>
      </c>
      <c r="R101" s="174" t="s">
        <v>509</v>
      </c>
      <c r="S101" s="174" t="s">
        <v>881</v>
      </c>
      <c r="T101" s="174">
        <v>3</v>
      </c>
      <c r="U101" s="184"/>
    </row>
    <row r="102" spans="1:21" ht="20.100000000000001" customHeight="1" x14ac:dyDescent="0.2">
      <c r="A102" s="74">
        <v>60369</v>
      </c>
      <c r="B102" s="179" t="s">
        <v>881</v>
      </c>
      <c r="C102" s="74">
        <v>30024135</v>
      </c>
      <c r="D102" s="74" t="s">
        <v>881</v>
      </c>
      <c r="E102" s="174" t="s">
        <v>871</v>
      </c>
      <c r="F102" s="174" t="s">
        <v>335</v>
      </c>
      <c r="G102" s="174" t="s">
        <v>1045</v>
      </c>
      <c r="H102" s="174" t="s">
        <v>628</v>
      </c>
      <c r="I102" s="174" t="s">
        <v>517</v>
      </c>
      <c r="J102" s="174" t="s">
        <v>356</v>
      </c>
      <c r="K102" s="174" t="s">
        <v>881</v>
      </c>
      <c r="L102" s="174" t="s">
        <v>881</v>
      </c>
      <c r="M102" s="185" t="s">
        <v>882</v>
      </c>
      <c r="N102" s="174" t="s">
        <v>634</v>
      </c>
      <c r="O102" s="174" t="s">
        <v>381</v>
      </c>
      <c r="P102" s="174" t="s">
        <v>386</v>
      </c>
      <c r="Q102" s="174" t="s">
        <v>412</v>
      </c>
      <c r="R102" s="174" t="s">
        <v>509</v>
      </c>
      <c r="S102" s="174">
        <v>40057142</v>
      </c>
      <c r="T102" s="174">
        <v>3</v>
      </c>
      <c r="U102" s="184"/>
    </row>
    <row r="103" spans="1:21" ht="20.100000000000001" customHeight="1" x14ac:dyDescent="0.2">
      <c r="A103" s="74">
        <v>60383</v>
      </c>
      <c r="B103" s="179" t="s">
        <v>881</v>
      </c>
      <c r="C103" s="74">
        <v>30023448</v>
      </c>
      <c r="D103" s="74" t="s">
        <v>881</v>
      </c>
      <c r="E103" s="174" t="s">
        <v>881</v>
      </c>
      <c r="F103" s="174" t="s">
        <v>335</v>
      </c>
      <c r="G103" s="174" t="s">
        <v>1045</v>
      </c>
      <c r="H103" s="174" t="s">
        <v>326</v>
      </c>
      <c r="I103" s="174" t="s">
        <v>342</v>
      </c>
      <c r="J103" s="174" t="s">
        <v>324</v>
      </c>
      <c r="K103" s="174" t="s">
        <v>334</v>
      </c>
      <c r="L103" s="174">
        <v>20063241</v>
      </c>
      <c r="M103" s="185" t="s">
        <v>73</v>
      </c>
      <c r="N103" s="174" t="s">
        <v>634</v>
      </c>
      <c r="O103" s="174" t="s">
        <v>381</v>
      </c>
      <c r="P103" s="174" t="s">
        <v>386</v>
      </c>
      <c r="Q103" s="174" t="s">
        <v>412</v>
      </c>
      <c r="R103" s="174" t="s">
        <v>509</v>
      </c>
      <c r="S103" s="174" t="s">
        <v>881</v>
      </c>
      <c r="T103" s="174">
        <v>3</v>
      </c>
      <c r="U103" s="184"/>
    </row>
    <row r="104" spans="1:21" ht="20.100000000000001" customHeight="1" x14ac:dyDescent="0.2">
      <c r="A104" s="74">
        <v>60395</v>
      </c>
      <c r="B104" s="179" t="s">
        <v>881</v>
      </c>
      <c r="C104" s="74">
        <v>30024136</v>
      </c>
      <c r="D104" s="74" t="s">
        <v>881</v>
      </c>
      <c r="E104" s="174" t="s">
        <v>870</v>
      </c>
      <c r="F104" s="174" t="s">
        <v>335</v>
      </c>
      <c r="G104" s="174" t="s">
        <v>1035</v>
      </c>
      <c r="H104" s="174" t="s">
        <v>326</v>
      </c>
      <c r="I104" s="174" t="s">
        <v>517</v>
      </c>
      <c r="J104" s="174" t="s">
        <v>356</v>
      </c>
      <c r="K104" s="174" t="s">
        <v>334</v>
      </c>
      <c r="L104" s="174">
        <v>20063379</v>
      </c>
      <c r="M104" s="185" t="s">
        <v>73</v>
      </c>
      <c r="N104" s="174" t="s">
        <v>881</v>
      </c>
      <c r="O104" s="174" t="s">
        <v>522</v>
      </c>
      <c r="P104" s="174" t="s">
        <v>382</v>
      </c>
      <c r="Q104" s="174" t="s">
        <v>412</v>
      </c>
      <c r="R104" s="174" t="s">
        <v>1196</v>
      </c>
      <c r="S104" s="174">
        <v>40056401</v>
      </c>
      <c r="T104" s="174">
        <v>3</v>
      </c>
      <c r="U104" s="184"/>
    </row>
    <row r="105" spans="1:21" ht="20.100000000000001" customHeight="1" x14ac:dyDescent="0.2">
      <c r="A105" s="74">
        <v>60397</v>
      </c>
      <c r="B105" s="179" t="s">
        <v>881</v>
      </c>
      <c r="C105" s="74">
        <v>30024137</v>
      </c>
      <c r="D105" s="74" t="s">
        <v>881</v>
      </c>
      <c r="E105" s="174" t="s">
        <v>871</v>
      </c>
      <c r="F105" s="174" t="s">
        <v>335</v>
      </c>
      <c r="G105" s="174" t="s">
        <v>1054</v>
      </c>
      <c r="H105" s="174" t="s">
        <v>330</v>
      </c>
      <c r="I105" s="174" t="s">
        <v>342</v>
      </c>
      <c r="J105" s="174" t="s">
        <v>324</v>
      </c>
      <c r="K105" s="174" t="s">
        <v>334</v>
      </c>
      <c r="L105" s="174">
        <v>20063241</v>
      </c>
      <c r="M105" s="185" t="s">
        <v>73</v>
      </c>
      <c r="N105" s="174" t="s">
        <v>881</v>
      </c>
      <c r="O105" s="174" t="s">
        <v>460</v>
      </c>
      <c r="P105" s="174" t="s">
        <v>461</v>
      </c>
      <c r="Q105" s="174" t="s">
        <v>412</v>
      </c>
      <c r="R105" s="174" t="s">
        <v>509</v>
      </c>
      <c r="S105" s="174">
        <v>40059588</v>
      </c>
      <c r="T105" s="174">
        <v>3</v>
      </c>
      <c r="U105" s="184"/>
    </row>
    <row r="106" spans="1:21" ht="20.100000000000001" customHeight="1" x14ac:dyDescent="0.2">
      <c r="A106" s="74">
        <v>60400</v>
      </c>
      <c r="B106" s="179" t="s">
        <v>881</v>
      </c>
      <c r="C106" s="74">
        <v>30023832</v>
      </c>
      <c r="D106" s="74" t="s">
        <v>881</v>
      </c>
      <c r="E106" s="174" t="s">
        <v>870</v>
      </c>
      <c r="F106" s="174" t="s">
        <v>335</v>
      </c>
      <c r="G106" s="174" t="s">
        <v>987</v>
      </c>
      <c r="H106" s="174" t="s">
        <v>336</v>
      </c>
      <c r="I106" s="174" t="s">
        <v>342</v>
      </c>
      <c r="J106" s="174" t="s">
        <v>324</v>
      </c>
      <c r="K106" s="174" t="s">
        <v>334</v>
      </c>
      <c r="L106" s="174">
        <v>20063379</v>
      </c>
      <c r="M106" s="185" t="s">
        <v>73</v>
      </c>
      <c r="N106" s="174" t="s">
        <v>881</v>
      </c>
      <c r="O106" s="174" t="s">
        <v>458</v>
      </c>
      <c r="P106" s="174" t="s">
        <v>382</v>
      </c>
      <c r="Q106" s="174" t="s">
        <v>412</v>
      </c>
      <c r="R106" s="174" t="s">
        <v>1196</v>
      </c>
      <c r="S106" s="174" t="s">
        <v>881</v>
      </c>
      <c r="T106" s="174">
        <v>3</v>
      </c>
      <c r="U106" s="184"/>
    </row>
    <row r="107" spans="1:21" ht="20.100000000000001" customHeight="1" x14ac:dyDescent="0.2">
      <c r="A107" s="74">
        <v>60406</v>
      </c>
      <c r="B107" s="179" t="s">
        <v>881</v>
      </c>
      <c r="C107" s="74">
        <v>30024138</v>
      </c>
      <c r="D107" s="74" t="s">
        <v>881</v>
      </c>
      <c r="E107" s="174" t="s">
        <v>617</v>
      </c>
      <c r="F107" s="174" t="s">
        <v>335</v>
      </c>
      <c r="G107" s="174" t="s">
        <v>987</v>
      </c>
      <c r="H107" s="174" t="s">
        <v>330</v>
      </c>
      <c r="I107" s="174" t="s">
        <v>342</v>
      </c>
      <c r="J107" s="174" t="s">
        <v>324</v>
      </c>
      <c r="K107" s="174" t="s">
        <v>334</v>
      </c>
      <c r="L107" s="174">
        <v>20063521</v>
      </c>
      <c r="M107" s="185" t="s">
        <v>73</v>
      </c>
      <c r="N107" s="174" t="s">
        <v>634</v>
      </c>
      <c r="O107" s="174" t="s">
        <v>453</v>
      </c>
      <c r="P107" s="174" t="s">
        <v>386</v>
      </c>
      <c r="Q107" s="174" t="s">
        <v>412</v>
      </c>
      <c r="R107" s="174" t="s">
        <v>509</v>
      </c>
      <c r="S107" s="174">
        <v>40059713</v>
      </c>
      <c r="T107" s="174">
        <v>3</v>
      </c>
      <c r="U107" s="184"/>
    </row>
    <row r="108" spans="1:21" ht="20.100000000000001" customHeight="1" x14ac:dyDescent="0.2">
      <c r="A108" s="74">
        <v>60407</v>
      </c>
      <c r="B108" s="179" t="s">
        <v>881</v>
      </c>
      <c r="C108" s="74">
        <v>30024139</v>
      </c>
      <c r="D108" s="74" t="s">
        <v>881</v>
      </c>
      <c r="E108" s="174" t="s">
        <v>617</v>
      </c>
      <c r="F108" s="174" t="s">
        <v>335</v>
      </c>
      <c r="G108" s="174" t="s">
        <v>1058</v>
      </c>
      <c r="H108" s="174" t="s">
        <v>329</v>
      </c>
      <c r="I108" s="174" t="s">
        <v>348</v>
      </c>
      <c r="J108" s="174" t="s">
        <v>349</v>
      </c>
      <c r="K108" s="174" t="s">
        <v>334</v>
      </c>
      <c r="L108" s="174">
        <v>20062414</v>
      </c>
      <c r="M108" s="185" t="s">
        <v>73</v>
      </c>
      <c r="N108" s="174" t="s">
        <v>641</v>
      </c>
      <c r="O108" s="174" t="s">
        <v>400</v>
      </c>
      <c r="P108" s="174" t="s">
        <v>399</v>
      </c>
      <c r="Q108" s="174" t="s">
        <v>207</v>
      </c>
      <c r="R108" s="174" t="s">
        <v>1196</v>
      </c>
      <c r="S108" s="174" t="s">
        <v>881</v>
      </c>
      <c r="T108" s="174" t="s">
        <v>633</v>
      </c>
      <c r="U108" s="184"/>
    </row>
    <row r="109" spans="1:21" ht="20.100000000000001" customHeight="1" x14ac:dyDescent="0.2">
      <c r="A109" s="74">
        <v>60411</v>
      </c>
      <c r="B109" s="179" t="s">
        <v>881</v>
      </c>
      <c r="C109" s="74">
        <v>30024140</v>
      </c>
      <c r="D109" s="74" t="s">
        <v>881</v>
      </c>
      <c r="E109" s="174" t="s">
        <v>877</v>
      </c>
      <c r="F109" s="174" t="s">
        <v>335</v>
      </c>
      <c r="G109" s="174" t="s">
        <v>1045</v>
      </c>
      <c r="H109" s="174" t="s">
        <v>330</v>
      </c>
      <c r="I109" s="174" t="s">
        <v>337</v>
      </c>
      <c r="J109" s="174" t="s">
        <v>338</v>
      </c>
      <c r="K109" s="174" t="s">
        <v>334</v>
      </c>
      <c r="L109" s="174">
        <v>20063432</v>
      </c>
      <c r="M109" s="185" t="s">
        <v>73</v>
      </c>
      <c r="N109" s="174" t="s">
        <v>634</v>
      </c>
      <c r="O109" s="174" t="s">
        <v>421</v>
      </c>
      <c r="P109" s="174" t="s">
        <v>422</v>
      </c>
      <c r="Q109" s="174" t="s">
        <v>412</v>
      </c>
      <c r="R109" s="174" t="s">
        <v>509</v>
      </c>
      <c r="S109" s="174" t="s">
        <v>881</v>
      </c>
      <c r="T109" s="174">
        <v>3</v>
      </c>
      <c r="U109" s="184"/>
    </row>
    <row r="110" spans="1:21" s="168" customFormat="1" ht="20.100000000000001" customHeight="1" x14ac:dyDescent="0.2">
      <c r="A110" s="188">
        <v>60420</v>
      </c>
      <c r="B110" s="189" t="s">
        <v>1318</v>
      </c>
      <c r="C110" s="171">
        <v>30023744</v>
      </c>
      <c r="D110" s="171">
        <v>30022160</v>
      </c>
      <c r="E110" s="168" t="s">
        <v>881</v>
      </c>
      <c r="F110" s="168" t="s">
        <v>335</v>
      </c>
      <c r="G110" s="168" t="s">
        <v>1062</v>
      </c>
      <c r="H110" s="168" t="s">
        <v>330</v>
      </c>
      <c r="I110" s="168" t="s">
        <v>342</v>
      </c>
      <c r="J110" s="168" t="s">
        <v>324</v>
      </c>
      <c r="K110" s="168" t="s">
        <v>334</v>
      </c>
      <c r="L110" s="168">
        <v>20063388</v>
      </c>
      <c r="M110" s="168" t="s">
        <v>73</v>
      </c>
      <c r="N110" s="168" t="s">
        <v>79</v>
      </c>
      <c r="O110" s="168" t="s">
        <v>1302</v>
      </c>
      <c r="P110" s="168" t="s">
        <v>815</v>
      </c>
      <c r="Q110" s="168" t="s">
        <v>207</v>
      </c>
      <c r="R110" s="191" t="s">
        <v>1196</v>
      </c>
      <c r="S110" s="168" t="s">
        <v>881</v>
      </c>
      <c r="T110" s="168" t="s">
        <v>881</v>
      </c>
      <c r="U110" s="187"/>
    </row>
    <row r="111" spans="1:21" ht="20.100000000000001" customHeight="1" x14ac:dyDescent="0.2">
      <c r="A111" s="74">
        <v>60423</v>
      </c>
      <c r="B111" s="179" t="s">
        <v>881</v>
      </c>
      <c r="C111" s="74">
        <v>30023579</v>
      </c>
      <c r="D111" s="74" t="s">
        <v>881</v>
      </c>
      <c r="E111" s="174" t="s">
        <v>881</v>
      </c>
      <c r="F111" s="174" t="s">
        <v>335</v>
      </c>
      <c r="G111" s="174" t="s">
        <v>1045</v>
      </c>
      <c r="H111" s="174" t="s">
        <v>330</v>
      </c>
      <c r="I111" s="174" t="s">
        <v>355</v>
      </c>
      <c r="J111" s="174" t="s">
        <v>356</v>
      </c>
      <c r="K111" s="174" t="s">
        <v>334</v>
      </c>
      <c r="L111" s="174">
        <v>20063442</v>
      </c>
      <c r="M111" s="185" t="s">
        <v>939</v>
      </c>
      <c r="N111" s="174" t="s">
        <v>331</v>
      </c>
      <c r="O111" s="174" t="s">
        <v>387</v>
      </c>
      <c r="P111" s="174" t="s">
        <v>383</v>
      </c>
      <c r="Q111" s="174" t="s">
        <v>412</v>
      </c>
      <c r="R111" s="174" t="s">
        <v>509</v>
      </c>
      <c r="S111" s="174" t="s">
        <v>881</v>
      </c>
      <c r="T111" s="174">
        <v>3</v>
      </c>
      <c r="U111" s="184"/>
    </row>
    <row r="112" spans="1:21" ht="20.100000000000001" customHeight="1" x14ac:dyDescent="0.2">
      <c r="A112" s="74">
        <v>60424</v>
      </c>
      <c r="B112" s="179" t="s">
        <v>881</v>
      </c>
      <c r="C112" s="74">
        <v>30024141</v>
      </c>
      <c r="D112" s="74" t="s">
        <v>881</v>
      </c>
      <c r="E112" s="174" t="s">
        <v>617</v>
      </c>
      <c r="F112" s="174" t="s">
        <v>335</v>
      </c>
      <c r="G112" s="174" t="s">
        <v>1062</v>
      </c>
      <c r="H112" s="174" t="s">
        <v>330</v>
      </c>
      <c r="I112" s="174" t="s">
        <v>523</v>
      </c>
      <c r="J112" s="174" t="s">
        <v>543</v>
      </c>
      <c r="K112" s="174" t="s">
        <v>334</v>
      </c>
      <c r="L112" s="174">
        <v>20063442</v>
      </c>
      <c r="M112" s="185" t="s">
        <v>73</v>
      </c>
      <c r="N112" s="174" t="s">
        <v>881</v>
      </c>
      <c r="O112" s="174" t="s">
        <v>387</v>
      </c>
      <c r="P112" s="174" t="s">
        <v>383</v>
      </c>
      <c r="Q112" s="174" t="s">
        <v>412</v>
      </c>
      <c r="R112" s="174" t="s">
        <v>509</v>
      </c>
      <c r="S112" s="174" t="s">
        <v>881</v>
      </c>
      <c r="T112" s="174">
        <v>3</v>
      </c>
      <c r="U112" s="184"/>
    </row>
    <row r="113" spans="1:21" ht="20.100000000000001" customHeight="1" x14ac:dyDescent="0.2">
      <c r="A113" s="74">
        <v>60428</v>
      </c>
      <c r="B113" s="179" t="s">
        <v>881</v>
      </c>
      <c r="C113" s="74">
        <v>30023590</v>
      </c>
      <c r="D113" s="74" t="s">
        <v>881</v>
      </c>
      <c r="E113" s="174" t="s">
        <v>872</v>
      </c>
      <c r="F113" s="174" t="s">
        <v>701</v>
      </c>
      <c r="G113" s="174" t="s">
        <v>1043</v>
      </c>
      <c r="H113" s="174" t="s">
        <v>332</v>
      </c>
      <c r="I113" s="174" t="s">
        <v>354</v>
      </c>
      <c r="J113" s="174" t="s">
        <v>246</v>
      </c>
      <c r="K113" s="174" t="s">
        <v>334</v>
      </c>
      <c r="L113" s="174">
        <v>20063449</v>
      </c>
      <c r="M113" s="185" t="s">
        <v>73</v>
      </c>
      <c r="N113" s="174" t="s">
        <v>1101</v>
      </c>
      <c r="O113" s="174" t="s">
        <v>516</v>
      </c>
      <c r="P113" s="174" t="s">
        <v>367</v>
      </c>
      <c r="Q113" s="174" t="s">
        <v>507</v>
      </c>
      <c r="R113" s="174" t="s">
        <v>1196</v>
      </c>
      <c r="S113" s="174" t="s">
        <v>881</v>
      </c>
      <c r="T113" s="174">
        <v>2</v>
      </c>
      <c r="U113" s="184"/>
    </row>
    <row r="114" spans="1:21" ht="20.100000000000001" customHeight="1" x14ac:dyDescent="0.2">
      <c r="A114" s="74">
        <v>60429</v>
      </c>
      <c r="B114" s="179" t="s">
        <v>881</v>
      </c>
      <c r="C114" s="74">
        <v>30023688</v>
      </c>
      <c r="D114" s="74" t="s">
        <v>881</v>
      </c>
      <c r="E114" s="174" t="s">
        <v>881</v>
      </c>
      <c r="F114" s="174" t="s">
        <v>328</v>
      </c>
      <c r="G114" s="174" t="s">
        <v>1043</v>
      </c>
      <c r="H114" s="174" t="s">
        <v>329</v>
      </c>
      <c r="I114" s="174" t="s">
        <v>354</v>
      </c>
      <c r="J114" s="174" t="s">
        <v>246</v>
      </c>
      <c r="K114" s="174" t="s">
        <v>1074</v>
      </c>
      <c r="L114" s="174">
        <v>20063913</v>
      </c>
      <c r="M114" s="174" t="s">
        <v>73</v>
      </c>
      <c r="N114" s="174" t="s">
        <v>891</v>
      </c>
      <c r="O114" s="174" t="s">
        <v>362</v>
      </c>
      <c r="P114" s="174" t="s">
        <v>1507</v>
      </c>
      <c r="Q114" s="174" t="s">
        <v>384</v>
      </c>
      <c r="R114" s="174" t="s">
        <v>1196</v>
      </c>
      <c r="S114" s="174" t="s">
        <v>881</v>
      </c>
      <c r="T114" s="174">
        <v>2</v>
      </c>
      <c r="U114" s="184"/>
    </row>
    <row r="115" spans="1:21" ht="20.100000000000001" customHeight="1" x14ac:dyDescent="0.2">
      <c r="A115" s="74">
        <v>60434</v>
      </c>
      <c r="B115" s="179" t="s">
        <v>881</v>
      </c>
      <c r="C115" s="74">
        <v>30024044</v>
      </c>
      <c r="D115" s="74" t="s">
        <v>881</v>
      </c>
      <c r="E115" s="174" t="s">
        <v>871</v>
      </c>
      <c r="F115" s="174" t="s">
        <v>335</v>
      </c>
      <c r="G115" s="174" t="s">
        <v>1062</v>
      </c>
      <c r="H115" s="174" t="s">
        <v>326</v>
      </c>
      <c r="I115" s="174" t="s">
        <v>523</v>
      </c>
      <c r="J115" s="174" t="s">
        <v>543</v>
      </c>
      <c r="K115" s="174" t="s">
        <v>334</v>
      </c>
      <c r="L115" s="174">
        <v>20063618</v>
      </c>
      <c r="M115" s="174" t="s">
        <v>73</v>
      </c>
      <c r="N115" s="174" t="s">
        <v>544</v>
      </c>
      <c r="O115" s="174" t="s">
        <v>601</v>
      </c>
      <c r="P115" s="174" t="s">
        <v>419</v>
      </c>
      <c r="Q115" s="174" t="s">
        <v>412</v>
      </c>
      <c r="R115" s="174" t="s">
        <v>509</v>
      </c>
      <c r="S115" s="174" t="s">
        <v>881</v>
      </c>
      <c r="T115" s="174">
        <v>3</v>
      </c>
      <c r="U115" s="184"/>
    </row>
    <row r="116" spans="1:21" ht="20.100000000000001" customHeight="1" x14ac:dyDescent="0.2">
      <c r="A116" s="74">
        <v>60435</v>
      </c>
      <c r="B116" s="179" t="s">
        <v>881</v>
      </c>
      <c r="C116" s="74">
        <v>30024062</v>
      </c>
      <c r="D116" s="74" t="s">
        <v>881</v>
      </c>
      <c r="E116" s="174" t="s">
        <v>870</v>
      </c>
      <c r="F116" s="174" t="s">
        <v>335</v>
      </c>
      <c r="G116" s="174" t="s">
        <v>1045</v>
      </c>
      <c r="H116" s="174" t="s">
        <v>330</v>
      </c>
      <c r="I116" s="174" t="s">
        <v>355</v>
      </c>
      <c r="J116" s="174" t="s">
        <v>356</v>
      </c>
      <c r="K116" s="174" t="s">
        <v>334</v>
      </c>
      <c r="L116" s="174">
        <v>20063641</v>
      </c>
      <c r="M116" s="185" t="s">
        <v>73</v>
      </c>
      <c r="N116" s="174" t="s">
        <v>544</v>
      </c>
      <c r="O116" s="174" t="s">
        <v>610</v>
      </c>
      <c r="P116" s="174" t="s">
        <v>385</v>
      </c>
      <c r="Q116" s="174" t="s">
        <v>412</v>
      </c>
      <c r="R116" s="174" t="s">
        <v>1196</v>
      </c>
      <c r="S116" s="174">
        <v>40056401</v>
      </c>
      <c r="T116" s="174">
        <v>3</v>
      </c>
      <c r="U116" s="184"/>
    </row>
    <row r="117" spans="1:21" ht="20.100000000000001" customHeight="1" x14ac:dyDescent="0.2">
      <c r="A117" s="74">
        <v>60436</v>
      </c>
      <c r="B117" s="179" t="s">
        <v>881</v>
      </c>
      <c r="C117" s="74">
        <v>30024045</v>
      </c>
      <c r="D117" s="74" t="s">
        <v>881</v>
      </c>
      <c r="E117" s="174" t="s">
        <v>870</v>
      </c>
      <c r="F117" s="174" t="s">
        <v>604</v>
      </c>
      <c r="G117" s="174" t="s">
        <v>987</v>
      </c>
      <c r="H117" s="174" t="s">
        <v>330</v>
      </c>
      <c r="I117" s="174" t="s">
        <v>355</v>
      </c>
      <c r="J117" s="174" t="s">
        <v>356</v>
      </c>
      <c r="K117" s="174" t="s">
        <v>334</v>
      </c>
      <c r="L117" s="174">
        <v>20063641</v>
      </c>
      <c r="M117" s="185" t="s">
        <v>73</v>
      </c>
      <c r="N117" s="174" t="s">
        <v>544</v>
      </c>
      <c r="O117" s="174" t="s">
        <v>610</v>
      </c>
      <c r="P117" s="174" t="s">
        <v>385</v>
      </c>
      <c r="Q117" s="174" t="s">
        <v>412</v>
      </c>
      <c r="R117" s="174" t="s">
        <v>1196</v>
      </c>
      <c r="S117" s="174">
        <v>40056401</v>
      </c>
      <c r="T117" s="174">
        <v>3</v>
      </c>
      <c r="U117" s="184"/>
    </row>
    <row r="118" spans="1:21" ht="20.100000000000001" customHeight="1" x14ac:dyDescent="0.2">
      <c r="A118" s="74">
        <v>60437</v>
      </c>
      <c r="B118" s="179" t="s">
        <v>881</v>
      </c>
      <c r="C118" s="74">
        <v>30023906</v>
      </c>
      <c r="D118" s="74" t="s">
        <v>881</v>
      </c>
      <c r="E118" s="174" t="s">
        <v>870</v>
      </c>
      <c r="F118" s="174" t="s">
        <v>335</v>
      </c>
      <c r="G118" s="174" t="s">
        <v>1045</v>
      </c>
      <c r="H118" s="174" t="s">
        <v>525</v>
      </c>
      <c r="I118" s="174" t="s">
        <v>355</v>
      </c>
      <c r="J118" s="174" t="s">
        <v>356</v>
      </c>
      <c r="K118" s="174" t="s">
        <v>334</v>
      </c>
      <c r="L118" s="174">
        <v>20063663</v>
      </c>
      <c r="M118" s="185" t="s">
        <v>73</v>
      </c>
      <c r="N118" s="174" t="s">
        <v>520</v>
      </c>
      <c r="O118" s="174" t="s">
        <v>524</v>
      </c>
      <c r="P118" s="174" t="s">
        <v>419</v>
      </c>
      <c r="Q118" s="174" t="s">
        <v>412</v>
      </c>
      <c r="R118" s="174" t="s">
        <v>509</v>
      </c>
      <c r="S118" s="174" t="s">
        <v>881</v>
      </c>
      <c r="T118" s="174">
        <v>3</v>
      </c>
      <c r="U118" s="184"/>
    </row>
    <row r="119" spans="1:21" ht="20.100000000000001" customHeight="1" x14ac:dyDescent="0.2">
      <c r="A119" s="74">
        <v>60438</v>
      </c>
      <c r="B119" s="179" t="s">
        <v>881</v>
      </c>
      <c r="C119" s="74">
        <v>30024142</v>
      </c>
      <c r="D119" s="74" t="s">
        <v>881</v>
      </c>
      <c r="E119" s="174" t="s">
        <v>870</v>
      </c>
      <c r="F119" s="174" t="s">
        <v>335</v>
      </c>
      <c r="G119" s="174" t="s">
        <v>987</v>
      </c>
      <c r="H119" s="174" t="s">
        <v>330</v>
      </c>
      <c r="I119" s="174" t="s">
        <v>523</v>
      </c>
      <c r="J119" s="174" t="s">
        <v>543</v>
      </c>
      <c r="K119" s="174" t="s">
        <v>334</v>
      </c>
      <c r="L119" s="174">
        <v>20063663</v>
      </c>
      <c r="M119" s="185" t="s">
        <v>73</v>
      </c>
      <c r="N119" s="174" t="s">
        <v>544</v>
      </c>
      <c r="O119" s="174" t="s">
        <v>524</v>
      </c>
      <c r="P119" s="174" t="s">
        <v>419</v>
      </c>
      <c r="Q119" s="174" t="s">
        <v>412</v>
      </c>
      <c r="R119" s="174" t="s">
        <v>509</v>
      </c>
      <c r="S119" s="174">
        <v>40059588</v>
      </c>
      <c r="T119" s="174">
        <v>3</v>
      </c>
      <c r="U119" s="184"/>
    </row>
    <row r="120" spans="1:21" ht="20.100000000000001" customHeight="1" x14ac:dyDescent="0.2">
      <c r="A120" s="74">
        <v>60439</v>
      </c>
      <c r="B120" s="179" t="s">
        <v>881</v>
      </c>
      <c r="C120" s="74">
        <v>30023907</v>
      </c>
      <c r="D120" s="74" t="s">
        <v>881</v>
      </c>
      <c r="E120" s="174" t="s">
        <v>617</v>
      </c>
      <c r="F120" s="174" t="s">
        <v>58</v>
      </c>
      <c r="G120" s="174" t="s">
        <v>1044</v>
      </c>
      <c r="H120" s="174" t="s">
        <v>332</v>
      </c>
      <c r="I120" s="174" t="s">
        <v>541</v>
      </c>
      <c r="J120" s="174" t="s">
        <v>648</v>
      </c>
      <c r="K120" s="174" t="s">
        <v>334</v>
      </c>
      <c r="L120" s="174">
        <v>20064353</v>
      </c>
      <c r="M120" s="185" t="s">
        <v>73</v>
      </c>
      <c r="N120" s="174" t="s">
        <v>684</v>
      </c>
      <c r="O120" s="174" t="s">
        <v>388</v>
      </c>
      <c r="P120" s="174" t="s">
        <v>1496</v>
      </c>
      <c r="Q120" s="174" t="s">
        <v>406</v>
      </c>
      <c r="R120" s="174" t="s">
        <v>1196</v>
      </c>
      <c r="S120" s="174" t="s">
        <v>881</v>
      </c>
      <c r="T120" s="174">
        <v>4</v>
      </c>
      <c r="U120" s="184"/>
    </row>
    <row r="121" spans="1:21" ht="20.100000000000001" customHeight="1" x14ac:dyDescent="0.2">
      <c r="A121" s="74">
        <v>60440</v>
      </c>
      <c r="B121" s="179" t="s">
        <v>881</v>
      </c>
      <c r="C121" s="74">
        <v>30023591</v>
      </c>
      <c r="D121" s="74" t="s">
        <v>881</v>
      </c>
      <c r="E121" s="174" t="s">
        <v>881</v>
      </c>
      <c r="F121" s="174" t="s">
        <v>335</v>
      </c>
      <c r="G121" s="174" t="s">
        <v>1066</v>
      </c>
      <c r="H121" s="174" t="s">
        <v>332</v>
      </c>
      <c r="I121" s="174" t="s">
        <v>511</v>
      </c>
      <c r="J121" s="174" t="s">
        <v>656</v>
      </c>
      <c r="K121" s="174" t="s">
        <v>334</v>
      </c>
      <c r="L121" s="174">
        <v>20064353</v>
      </c>
      <c r="M121" s="185" t="s">
        <v>73</v>
      </c>
      <c r="N121" s="174" t="s">
        <v>533</v>
      </c>
      <c r="O121" s="174" t="s">
        <v>388</v>
      </c>
      <c r="P121" s="174" t="s">
        <v>1496</v>
      </c>
      <c r="Q121" s="174" t="s">
        <v>406</v>
      </c>
      <c r="R121" s="174" t="s">
        <v>1196</v>
      </c>
      <c r="S121" s="174" t="s">
        <v>881</v>
      </c>
      <c r="T121" s="174">
        <v>4</v>
      </c>
      <c r="U121" s="184"/>
    </row>
    <row r="122" spans="1:21" ht="20.100000000000001" customHeight="1" x14ac:dyDescent="0.2">
      <c r="A122" s="74">
        <v>60442</v>
      </c>
      <c r="B122" s="179" t="s">
        <v>881</v>
      </c>
      <c r="C122" s="74">
        <v>30024143</v>
      </c>
      <c r="D122" s="74" t="s">
        <v>881</v>
      </c>
      <c r="E122" s="174" t="s">
        <v>617</v>
      </c>
      <c r="F122" s="174" t="s">
        <v>604</v>
      </c>
      <c r="G122" s="174" t="s">
        <v>1041</v>
      </c>
      <c r="H122" s="174" t="s">
        <v>330</v>
      </c>
      <c r="I122" s="174" t="s">
        <v>605</v>
      </c>
      <c r="J122" s="174" t="s">
        <v>109</v>
      </c>
      <c r="K122" s="174" t="s">
        <v>334</v>
      </c>
      <c r="L122" s="174">
        <v>20063526</v>
      </c>
      <c r="M122" s="185" t="s">
        <v>73</v>
      </c>
      <c r="N122" s="174" t="s">
        <v>512</v>
      </c>
      <c r="O122" s="174" t="s">
        <v>501</v>
      </c>
      <c r="P122" s="174" t="s">
        <v>385</v>
      </c>
      <c r="Q122" s="174" t="s">
        <v>412</v>
      </c>
      <c r="R122" s="174" t="s">
        <v>1196</v>
      </c>
      <c r="S122" s="174">
        <v>40059713</v>
      </c>
      <c r="T122" s="174">
        <v>3</v>
      </c>
      <c r="U122" s="184"/>
    </row>
    <row r="123" spans="1:21" ht="20.100000000000001" customHeight="1" x14ac:dyDescent="0.2">
      <c r="A123" s="74">
        <v>60443</v>
      </c>
      <c r="B123" s="179" t="s">
        <v>881</v>
      </c>
      <c r="C123" s="74">
        <v>30023975</v>
      </c>
      <c r="D123" s="74" t="s">
        <v>881</v>
      </c>
      <c r="E123" s="174" t="s">
        <v>617</v>
      </c>
      <c r="F123" s="174" t="s">
        <v>335</v>
      </c>
      <c r="G123" s="174" t="s">
        <v>1041</v>
      </c>
      <c r="H123" s="174" t="s">
        <v>330</v>
      </c>
      <c r="I123" s="174" t="s">
        <v>351</v>
      </c>
      <c r="J123" s="174" t="s">
        <v>37</v>
      </c>
      <c r="K123" s="174" t="s">
        <v>334</v>
      </c>
      <c r="L123" s="174">
        <v>20063521</v>
      </c>
      <c r="M123" s="174" t="s">
        <v>73</v>
      </c>
      <c r="N123" s="174" t="s">
        <v>881</v>
      </c>
      <c r="O123" s="174" t="s">
        <v>462</v>
      </c>
      <c r="P123" s="174" t="s">
        <v>461</v>
      </c>
      <c r="Q123" s="174" t="s">
        <v>412</v>
      </c>
      <c r="R123" s="174" t="s">
        <v>509</v>
      </c>
      <c r="S123" s="174" t="s">
        <v>881</v>
      </c>
      <c r="T123" s="174">
        <v>3</v>
      </c>
      <c r="U123" s="184"/>
    </row>
    <row r="124" spans="1:21" ht="20.100000000000001" customHeight="1" x14ac:dyDescent="0.2">
      <c r="A124" s="74">
        <v>60444</v>
      </c>
      <c r="B124" s="179" t="s">
        <v>881</v>
      </c>
      <c r="C124" s="74">
        <v>30023689</v>
      </c>
      <c r="D124" s="74" t="s">
        <v>881</v>
      </c>
      <c r="E124" s="174" t="s">
        <v>881</v>
      </c>
      <c r="F124" s="174" t="s">
        <v>335</v>
      </c>
      <c r="G124" s="174" t="s">
        <v>987</v>
      </c>
      <c r="H124" s="174" t="s">
        <v>336</v>
      </c>
      <c r="I124" s="174" t="s">
        <v>355</v>
      </c>
      <c r="J124" s="174" t="s">
        <v>356</v>
      </c>
      <c r="K124" s="174" t="s">
        <v>334</v>
      </c>
      <c r="L124" s="174">
        <v>20063525</v>
      </c>
      <c r="M124" s="185" t="s">
        <v>73</v>
      </c>
      <c r="N124" s="174" t="s">
        <v>357</v>
      </c>
      <c r="O124" s="174" t="s">
        <v>500</v>
      </c>
      <c r="P124" s="174" t="s">
        <v>419</v>
      </c>
      <c r="Q124" s="174" t="s">
        <v>412</v>
      </c>
      <c r="R124" s="174" t="s">
        <v>509</v>
      </c>
      <c r="S124" s="174" t="s">
        <v>881</v>
      </c>
      <c r="T124" s="174">
        <v>3</v>
      </c>
      <c r="U124" s="184"/>
    </row>
    <row r="125" spans="1:21" ht="20.100000000000001" customHeight="1" x14ac:dyDescent="0.2">
      <c r="A125" s="74">
        <v>60450</v>
      </c>
      <c r="B125" s="179" t="s">
        <v>881</v>
      </c>
      <c r="C125" s="74">
        <v>30023908</v>
      </c>
      <c r="D125" s="74" t="s">
        <v>881</v>
      </c>
      <c r="E125" s="174" t="s">
        <v>881</v>
      </c>
      <c r="F125" s="174" t="s">
        <v>335</v>
      </c>
      <c r="G125" s="174" t="s">
        <v>987</v>
      </c>
      <c r="H125" s="174" t="s">
        <v>336</v>
      </c>
      <c r="I125" s="174" t="s">
        <v>521</v>
      </c>
      <c r="J125" s="174" t="s">
        <v>101</v>
      </c>
      <c r="K125" s="174" t="s">
        <v>334</v>
      </c>
      <c r="L125" s="174">
        <v>20062447</v>
      </c>
      <c r="M125" s="185" t="s">
        <v>73</v>
      </c>
      <c r="N125" s="174" t="s">
        <v>529</v>
      </c>
      <c r="O125" s="174" t="s">
        <v>459</v>
      </c>
      <c r="P125" s="174" t="s">
        <v>382</v>
      </c>
      <c r="Q125" s="174" t="s">
        <v>412</v>
      </c>
      <c r="R125" s="174" t="s">
        <v>1196</v>
      </c>
      <c r="S125" s="174" t="s">
        <v>881</v>
      </c>
      <c r="T125" s="174">
        <v>3</v>
      </c>
      <c r="U125" s="184"/>
    </row>
    <row r="126" spans="1:21" ht="20.100000000000001" customHeight="1" x14ac:dyDescent="0.2">
      <c r="A126" s="74">
        <v>60483</v>
      </c>
      <c r="B126" s="179" t="s">
        <v>881</v>
      </c>
      <c r="C126" s="74">
        <v>30024277</v>
      </c>
      <c r="D126" s="74" t="s">
        <v>881</v>
      </c>
      <c r="E126" s="174" t="s">
        <v>872</v>
      </c>
      <c r="F126" s="174" t="s">
        <v>335</v>
      </c>
      <c r="G126" s="174" t="s">
        <v>1058</v>
      </c>
      <c r="H126" s="174" t="s">
        <v>329</v>
      </c>
      <c r="I126" s="174" t="s">
        <v>541</v>
      </c>
      <c r="J126" s="174" t="s">
        <v>648</v>
      </c>
      <c r="K126" s="174" t="s">
        <v>334</v>
      </c>
      <c r="L126" s="174">
        <v>20063626</v>
      </c>
      <c r="M126" s="185" t="s">
        <v>73</v>
      </c>
      <c r="N126" s="174" t="s">
        <v>881</v>
      </c>
      <c r="O126" s="174" t="s">
        <v>620</v>
      </c>
      <c r="P126" s="174" t="s">
        <v>393</v>
      </c>
      <c r="Q126" s="174" t="s">
        <v>207</v>
      </c>
      <c r="R126" s="174" t="s">
        <v>1196</v>
      </c>
      <c r="S126" s="174" t="s">
        <v>881</v>
      </c>
      <c r="T126" s="174">
        <v>4</v>
      </c>
      <c r="U126" s="184"/>
    </row>
    <row r="127" spans="1:21" ht="20.100000000000001" customHeight="1" x14ac:dyDescent="0.2">
      <c r="A127" s="74">
        <v>60487</v>
      </c>
      <c r="B127" s="179" t="s">
        <v>881</v>
      </c>
      <c r="C127" s="74">
        <v>30024047</v>
      </c>
      <c r="D127" s="74" t="s">
        <v>881</v>
      </c>
      <c r="E127" s="174" t="s">
        <v>877</v>
      </c>
      <c r="F127" s="174" t="s">
        <v>335</v>
      </c>
      <c r="G127" s="174" t="s">
        <v>1045</v>
      </c>
      <c r="H127" s="174" t="s">
        <v>330</v>
      </c>
      <c r="I127" s="174" t="s">
        <v>337</v>
      </c>
      <c r="J127" s="174" t="s">
        <v>338</v>
      </c>
      <c r="K127" s="174" t="s">
        <v>334</v>
      </c>
      <c r="L127" s="174">
        <v>20061915</v>
      </c>
      <c r="M127" s="174" t="s">
        <v>73</v>
      </c>
      <c r="N127" s="174" t="s">
        <v>881</v>
      </c>
      <c r="O127" s="174" t="s">
        <v>490</v>
      </c>
      <c r="P127" s="174" t="s">
        <v>482</v>
      </c>
      <c r="Q127" s="174" t="s">
        <v>412</v>
      </c>
      <c r="R127" s="174" t="s">
        <v>509</v>
      </c>
      <c r="S127" s="174" t="s">
        <v>881</v>
      </c>
      <c r="T127" s="174">
        <v>3</v>
      </c>
      <c r="U127" s="184"/>
    </row>
    <row r="128" spans="1:21" ht="20.100000000000001" customHeight="1" x14ac:dyDescent="0.2">
      <c r="A128" s="74">
        <v>60490</v>
      </c>
      <c r="B128" s="179" t="s">
        <v>881</v>
      </c>
      <c r="C128" s="74">
        <v>30023909</v>
      </c>
      <c r="D128" s="74" t="s">
        <v>881</v>
      </c>
      <c r="E128" s="174" t="s">
        <v>872</v>
      </c>
      <c r="F128" s="174" t="s">
        <v>328</v>
      </c>
      <c r="G128" s="174" t="s">
        <v>1058</v>
      </c>
      <c r="H128" s="174" t="s">
        <v>329</v>
      </c>
      <c r="I128" s="174" t="s">
        <v>354</v>
      </c>
      <c r="J128" s="174" t="s">
        <v>246</v>
      </c>
      <c r="K128" s="174" t="s">
        <v>334</v>
      </c>
      <c r="L128" s="174">
        <v>20064177</v>
      </c>
      <c r="M128" s="185" t="s">
        <v>892</v>
      </c>
      <c r="N128" s="174" t="s">
        <v>1101</v>
      </c>
      <c r="O128" s="174" t="s">
        <v>516</v>
      </c>
      <c r="P128" s="174" t="s">
        <v>367</v>
      </c>
      <c r="Q128" s="174" t="s">
        <v>507</v>
      </c>
      <c r="R128" s="174" t="s">
        <v>1196</v>
      </c>
      <c r="S128" s="174" t="s">
        <v>881</v>
      </c>
      <c r="T128" s="174">
        <v>2</v>
      </c>
      <c r="U128" s="184"/>
    </row>
    <row r="129" spans="1:21" ht="20.100000000000001" customHeight="1" x14ac:dyDescent="0.2">
      <c r="A129" s="74">
        <v>60491</v>
      </c>
      <c r="B129" s="179" t="s">
        <v>881</v>
      </c>
      <c r="C129" s="74">
        <v>30024144</v>
      </c>
      <c r="D129" s="74" t="s">
        <v>881</v>
      </c>
      <c r="E129" s="174" t="s">
        <v>872</v>
      </c>
      <c r="F129" s="174" t="s">
        <v>328</v>
      </c>
      <c r="G129" s="174" t="s">
        <v>1058</v>
      </c>
      <c r="H129" s="174" t="s">
        <v>329</v>
      </c>
      <c r="I129" s="174" t="s">
        <v>611</v>
      </c>
      <c r="J129" s="174" t="s">
        <v>640</v>
      </c>
      <c r="K129" s="174" t="s">
        <v>334</v>
      </c>
      <c r="L129" s="174">
        <v>20065185</v>
      </c>
      <c r="M129" s="185" t="s">
        <v>73</v>
      </c>
      <c r="N129" s="174" t="s">
        <v>1101</v>
      </c>
      <c r="O129" s="174" t="s">
        <v>612</v>
      </c>
      <c r="P129" s="174" t="s">
        <v>505</v>
      </c>
      <c r="Q129" s="174" t="s">
        <v>507</v>
      </c>
      <c r="R129" s="174" t="s">
        <v>1196</v>
      </c>
      <c r="S129" s="174">
        <v>40058940</v>
      </c>
      <c r="T129" s="174">
        <v>2</v>
      </c>
      <c r="U129" s="184"/>
    </row>
    <row r="130" spans="1:21" ht="20.100000000000001" customHeight="1" x14ac:dyDescent="0.2">
      <c r="A130" s="74">
        <v>60496</v>
      </c>
      <c r="B130" s="179" t="s">
        <v>881</v>
      </c>
      <c r="C130" s="74">
        <v>30024278</v>
      </c>
      <c r="D130" s="74" t="s">
        <v>881</v>
      </c>
      <c r="E130" s="174" t="s">
        <v>872</v>
      </c>
      <c r="F130" s="174" t="s">
        <v>328</v>
      </c>
      <c r="G130" s="174" t="s">
        <v>1044</v>
      </c>
      <c r="H130" s="174" t="s">
        <v>330</v>
      </c>
      <c r="I130" s="174" t="s">
        <v>635</v>
      </c>
      <c r="J130" s="174" t="s">
        <v>636</v>
      </c>
      <c r="K130" s="174" t="s">
        <v>334</v>
      </c>
      <c r="L130" s="174">
        <v>20063469</v>
      </c>
      <c r="M130" s="185" t="s">
        <v>73</v>
      </c>
      <c r="N130" s="174" t="s">
        <v>670</v>
      </c>
      <c r="O130" s="174" t="s">
        <v>881</v>
      </c>
      <c r="P130" s="174" t="s">
        <v>881</v>
      </c>
      <c r="Q130" s="174" t="s">
        <v>881</v>
      </c>
      <c r="R130" s="174" t="s">
        <v>1196</v>
      </c>
      <c r="S130" s="174" t="s">
        <v>881</v>
      </c>
      <c r="T130" s="174">
        <v>4</v>
      </c>
      <c r="U130" s="184"/>
    </row>
    <row r="131" spans="1:21" ht="20.100000000000001" customHeight="1" x14ac:dyDescent="0.2">
      <c r="A131" s="74">
        <v>60498</v>
      </c>
      <c r="B131" s="179" t="s">
        <v>881</v>
      </c>
      <c r="C131" s="74">
        <v>30024042</v>
      </c>
      <c r="D131" s="74" t="s">
        <v>881</v>
      </c>
      <c r="E131" s="174" t="s">
        <v>874</v>
      </c>
      <c r="F131" s="174" t="s">
        <v>604</v>
      </c>
      <c r="G131" s="174" t="s">
        <v>1045</v>
      </c>
      <c r="H131" s="174" t="s">
        <v>330</v>
      </c>
      <c r="I131" s="174" t="s">
        <v>614</v>
      </c>
      <c r="J131" s="174" t="s">
        <v>616</v>
      </c>
      <c r="K131" s="174" t="s">
        <v>334</v>
      </c>
      <c r="L131" s="174">
        <v>20063532</v>
      </c>
      <c r="M131" s="185" t="s">
        <v>73</v>
      </c>
      <c r="N131" s="174" t="s">
        <v>542</v>
      </c>
      <c r="O131" s="174" t="s">
        <v>613</v>
      </c>
      <c r="P131" s="174" t="s">
        <v>615</v>
      </c>
      <c r="Q131" s="174" t="s">
        <v>406</v>
      </c>
      <c r="R131" s="174" t="s">
        <v>1196</v>
      </c>
      <c r="S131" s="174">
        <v>40057145</v>
      </c>
      <c r="T131" s="174">
        <v>4</v>
      </c>
      <c r="U131" s="184"/>
    </row>
    <row r="132" spans="1:21" ht="20.100000000000001" customHeight="1" x14ac:dyDescent="0.2">
      <c r="A132" s="74">
        <v>60499</v>
      </c>
      <c r="B132" s="179" t="s">
        <v>881</v>
      </c>
      <c r="C132" s="74">
        <v>30024345</v>
      </c>
      <c r="D132" s="74" t="s">
        <v>881</v>
      </c>
      <c r="E132" s="174" t="s">
        <v>874</v>
      </c>
      <c r="F132" s="174" t="s">
        <v>335</v>
      </c>
      <c r="G132" s="174" t="s">
        <v>1062</v>
      </c>
      <c r="H132" s="174" t="s">
        <v>330</v>
      </c>
      <c r="I132" s="174" t="s">
        <v>342</v>
      </c>
      <c r="J132" s="174" t="s">
        <v>324</v>
      </c>
      <c r="K132" s="174" t="s">
        <v>334</v>
      </c>
      <c r="L132" s="174">
        <v>20063532</v>
      </c>
      <c r="M132" s="185" t="s">
        <v>73</v>
      </c>
      <c r="N132" s="174" t="s">
        <v>542</v>
      </c>
      <c r="O132" s="174" t="s">
        <v>613</v>
      </c>
      <c r="P132" s="174" t="s">
        <v>615</v>
      </c>
      <c r="Q132" s="174" t="s">
        <v>406</v>
      </c>
      <c r="R132" s="174" t="s">
        <v>1196</v>
      </c>
      <c r="S132" s="174" t="s">
        <v>881</v>
      </c>
      <c r="T132" s="174">
        <v>4</v>
      </c>
      <c r="U132" s="184"/>
    </row>
    <row r="133" spans="1:21" ht="20.100000000000001" customHeight="1" x14ac:dyDescent="0.2">
      <c r="A133" s="74">
        <v>60550</v>
      </c>
      <c r="B133" s="179" t="s">
        <v>881</v>
      </c>
      <c r="C133" s="74">
        <v>30024290</v>
      </c>
      <c r="D133" s="74" t="s">
        <v>881</v>
      </c>
      <c r="E133" s="174" t="s">
        <v>617</v>
      </c>
      <c r="F133" s="174" t="s">
        <v>335</v>
      </c>
      <c r="G133" s="153" t="s">
        <v>1004</v>
      </c>
      <c r="H133" s="174" t="s">
        <v>330</v>
      </c>
      <c r="I133" s="174" t="s">
        <v>519</v>
      </c>
      <c r="J133" s="174" t="s">
        <v>101</v>
      </c>
      <c r="K133" s="174" t="s">
        <v>334</v>
      </c>
      <c r="L133" s="174">
        <v>20063875</v>
      </c>
      <c r="M133" s="185" t="s">
        <v>73</v>
      </c>
      <c r="N133" s="174" t="s">
        <v>544</v>
      </c>
      <c r="O133" s="174" t="s">
        <v>644</v>
      </c>
      <c r="P133" s="174" t="s">
        <v>385</v>
      </c>
      <c r="Q133" s="174" t="s">
        <v>412</v>
      </c>
      <c r="R133" s="174" t="s">
        <v>1196</v>
      </c>
      <c r="S133" s="174">
        <v>40059713</v>
      </c>
      <c r="T133" s="174">
        <v>3</v>
      </c>
      <c r="U133" s="184"/>
    </row>
    <row r="134" spans="1:21" ht="20.100000000000001" customHeight="1" x14ac:dyDescent="0.2">
      <c r="A134" s="74">
        <v>60555</v>
      </c>
      <c r="B134" s="179" t="s">
        <v>881</v>
      </c>
      <c r="C134" s="74">
        <v>30024146</v>
      </c>
      <c r="D134" s="74" t="s">
        <v>881</v>
      </c>
      <c r="E134" s="174" t="s">
        <v>617</v>
      </c>
      <c r="F134" s="174" t="s">
        <v>335</v>
      </c>
      <c r="G134" s="153" t="s">
        <v>1004</v>
      </c>
      <c r="H134" s="174" t="s">
        <v>330</v>
      </c>
      <c r="I134" s="174" t="s">
        <v>618</v>
      </c>
      <c r="J134" s="174" t="s">
        <v>619</v>
      </c>
      <c r="K134" s="174" t="s">
        <v>334</v>
      </c>
      <c r="L134" s="174">
        <v>20062447</v>
      </c>
      <c r="M134" s="185" t="s">
        <v>73</v>
      </c>
      <c r="N134" s="174" t="s">
        <v>881</v>
      </c>
      <c r="O134" s="174" t="s">
        <v>609</v>
      </c>
      <c r="P134" s="174" t="s">
        <v>382</v>
      </c>
      <c r="Q134" s="174" t="s">
        <v>412</v>
      </c>
      <c r="R134" s="174" t="s">
        <v>1196</v>
      </c>
      <c r="S134" s="174">
        <v>40056401</v>
      </c>
      <c r="T134" s="174">
        <v>3</v>
      </c>
      <c r="U134" s="184"/>
    </row>
    <row r="135" spans="1:21" ht="20.100000000000001" customHeight="1" x14ac:dyDescent="0.2">
      <c r="A135" s="74">
        <v>60562</v>
      </c>
      <c r="B135" s="179" t="s">
        <v>881</v>
      </c>
      <c r="C135" s="74">
        <v>30024291</v>
      </c>
      <c r="D135" s="74" t="s">
        <v>881</v>
      </c>
      <c r="E135" s="174" t="s">
        <v>874</v>
      </c>
      <c r="F135" s="174" t="s">
        <v>671</v>
      </c>
      <c r="G135" s="174" t="s">
        <v>1043</v>
      </c>
      <c r="H135" s="174" t="s">
        <v>332</v>
      </c>
      <c r="I135" s="174" t="s">
        <v>541</v>
      </c>
      <c r="J135" s="174" t="s">
        <v>648</v>
      </c>
      <c r="K135" s="174" t="s">
        <v>334</v>
      </c>
      <c r="L135" s="174">
        <v>20063876</v>
      </c>
      <c r="M135" s="185" t="s">
        <v>73</v>
      </c>
      <c r="N135" s="174" t="s">
        <v>1011</v>
      </c>
      <c r="O135" s="174" t="s">
        <v>388</v>
      </c>
      <c r="P135" s="174" t="s">
        <v>1496</v>
      </c>
      <c r="Q135" s="174" t="s">
        <v>406</v>
      </c>
      <c r="R135" s="174" t="s">
        <v>1196</v>
      </c>
      <c r="S135" s="174">
        <v>40063271</v>
      </c>
      <c r="T135" s="174">
        <v>4</v>
      </c>
      <c r="U135" s="184"/>
    </row>
    <row r="136" spans="1:21" ht="20.100000000000001" customHeight="1" x14ac:dyDescent="0.2">
      <c r="A136" s="74">
        <v>60595</v>
      </c>
      <c r="B136" s="179" t="s">
        <v>881</v>
      </c>
      <c r="C136" s="74">
        <v>30024147</v>
      </c>
      <c r="D136" s="74" t="s">
        <v>881</v>
      </c>
      <c r="E136" s="174" t="s">
        <v>871</v>
      </c>
      <c r="F136" s="174" t="s">
        <v>335</v>
      </c>
      <c r="G136" s="174" t="s">
        <v>1054</v>
      </c>
      <c r="H136" s="174" t="s">
        <v>330</v>
      </c>
      <c r="I136" s="174" t="s">
        <v>355</v>
      </c>
      <c r="J136" s="174" t="s">
        <v>356</v>
      </c>
      <c r="K136" s="174" t="s">
        <v>334</v>
      </c>
      <c r="L136" s="174">
        <v>20063618</v>
      </c>
      <c r="M136" s="185" t="s">
        <v>73</v>
      </c>
      <c r="N136" s="174" t="s">
        <v>544</v>
      </c>
      <c r="O136" s="174" t="s">
        <v>601</v>
      </c>
      <c r="P136" s="174" t="s">
        <v>419</v>
      </c>
      <c r="Q136" s="174" t="s">
        <v>412</v>
      </c>
      <c r="R136" s="174" t="s">
        <v>509</v>
      </c>
      <c r="S136" s="174">
        <v>40059588</v>
      </c>
      <c r="T136" s="174">
        <v>3</v>
      </c>
      <c r="U136" s="184"/>
    </row>
    <row r="137" spans="1:21" ht="20.100000000000001" customHeight="1" x14ac:dyDescent="0.2">
      <c r="A137" s="74">
        <v>60600</v>
      </c>
      <c r="B137" s="179" t="s">
        <v>881</v>
      </c>
      <c r="C137" s="74">
        <v>30024148</v>
      </c>
      <c r="D137" s="74" t="s">
        <v>881</v>
      </c>
      <c r="E137" s="174" t="s">
        <v>617</v>
      </c>
      <c r="F137" s="174" t="s">
        <v>604</v>
      </c>
      <c r="G137" s="174" t="s">
        <v>1045</v>
      </c>
      <c r="H137" s="174" t="s">
        <v>330</v>
      </c>
      <c r="I137" s="174" t="s">
        <v>355</v>
      </c>
      <c r="J137" s="174" t="s">
        <v>356</v>
      </c>
      <c r="K137" s="174" t="s">
        <v>334</v>
      </c>
      <c r="L137" s="174">
        <v>20063442</v>
      </c>
      <c r="M137" s="185" t="s">
        <v>73</v>
      </c>
      <c r="N137" s="174" t="s">
        <v>881</v>
      </c>
      <c r="O137" s="174" t="s">
        <v>387</v>
      </c>
      <c r="P137" s="174" t="s">
        <v>383</v>
      </c>
      <c r="Q137" s="174" t="s">
        <v>412</v>
      </c>
      <c r="R137" s="174" t="s">
        <v>509</v>
      </c>
      <c r="S137" s="174">
        <v>40063262</v>
      </c>
      <c r="T137" s="174">
        <v>3</v>
      </c>
      <c r="U137" s="184"/>
    </row>
    <row r="138" spans="1:21" ht="20.100000000000001" customHeight="1" x14ac:dyDescent="0.2">
      <c r="A138" s="74">
        <v>60620</v>
      </c>
      <c r="B138" s="179" t="s">
        <v>881</v>
      </c>
      <c r="C138" s="74">
        <v>30024346</v>
      </c>
      <c r="D138" s="74" t="s">
        <v>881</v>
      </c>
      <c r="E138" s="174" t="s">
        <v>617</v>
      </c>
      <c r="F138" s="174" t="s">
        <v>328</v>
      </c>
      <c r="G138" s="174" t="s">
        <v>1058</v>
      </c>
      <c r="H138" s="174" t="s">
        <v>329</v>
      </c>
      <c r="I138" s="174" t="s">
        <v>354</v>
      </c>
      <c r="J138" s="174" t="s">
        <v>246</v>
      </c>
      <c r="K138" s="174" t="s">
        <v>334</v>
      </c>
      <c r="L138" s="174">
        <v>20063449</v>
      </c>
      <c r="M138" s="185" t="s">
        <v>73</v>
      </c>
      <c r="N138" s="174" t="s">
        <v>1101</v>
      </c>
      <c r="O138" s="174" t="s">
        <v>516</v>
      </c>
      <c r="P138" s="174" t="s">
        <v>367</v>
      </c>
      <c r="Q138" s="174" t="s">
        <v>507</v>
      </c>
      <c r="R138" s="174" t="s">
        <v>1196</v>
      </c>
      <c r="S138" s="174" t="s">
        <v>881</v>
      </c>
      <c r="T138" s="174">
        <v>2</v>
      </c>
      <c r="U138" s="184"/>
    </row>
    <row r="139" spans="1:21" ht="20.100000000000001" customHeight="1" x14ac:dyDescent="0.2">
      <c r="A139" s="74">
        <v>60622</v>
      </c>
      <c r="B139" s="179" t="s">
        <v>881</v>
      </c>
      <c r="C139" s="74">
        <v>30024292</v>
      </c>
      <c r="D139" s="74" t="s">
        <v>881</v>
      </c>
      <c r="E139" s="174" t="s">
        <v>872</v>
      </c>
      <c r="F139" s="174" t="s">
        <v>328</v>
      </c>
      <c r="G139" s="174" t="s">
        <v>1058</v>
      </c>
      <c r="H139" s="174" t="s">
        <v>332</v>
      </c>
      <c r="I139" s="174" t="s">
        <v>611</v>
      </c>
      <c r="J139" s="174" t="s">
        <v>640</v>
      </c>
      <c r="K139" s="174" t="s">
        <v>334</v>
      </c>
      <c r="L139" s="174">
        <v>20065185</v>
      </c>
      <c r="M139" s="185" t="s">
        <v>73</v>
      </c>
      <c r="N139" s="174" t="s">
        <v>1101</v>
      </c>
      <c r="O139" s="174" t="s">
        <v>612</v>
      </c>
      <c r="P139" s="174" t="s">
        <v>367</v>
      </c>
      <c r="Q139" s="174" t="s">
        <v>507</v>
      </c>
      <c r="R139" s="174" t="s">
        <v>1196</v>
      </c>
      <c r="S139" s="174" t="s">
        <v>881</v>
      </c>
      <c r="T139" s="174">
        <v>2</v>
      </c>
      <c r="U139" s="184"/>
    </row>
    <row r="140" spans="1:21" ht="20.100000000000001" customHeight="1" x14ac:dyDescent="0.2">
      <c r="A140" s="74">
        <v>60624</v>
      </c>
      <c r="B140" s="179" t="s">
        <v>881</v>
      </c>
      <c r="C140" s="74" t="s">
        <v>690</v>
      </c>
      <c r="D140" s="74" t="s">
        <v>881</v>
      </c>
      <c r="E140" s="174" t="s">
        <v>876</v>
      </c>
      <c r="F140" s="174" t="s">
        <v>701</v>
      </c>
      <c r="G140" s="174" t="s">
        <v>1058</v>
      </c>
      <c r="H140" s="174" t="s">
        <v>332</v>
      </c>
      <c r="I140" s="174" t="s">
        <v>354</v>
      </c>
      <c r="J140" s="174" t="s">
        <v>246</v>
      </c>
      <c r="K140" s="174" t="s">
        <v>334</v>
      </c>
      <c r="L140" s="174">
        <v>20063449</v>
      </c>
      <c r="M140" s="185" t="s">
        <v>73</v>
      </c>
      <c r="N140" s="174" t="s">
        <v>1102</v>
      </c>
      <c r="O140" s="174" t="s">
        <v>516</v>
      </c>
      <c r="P140" s="174" t="s">
        <v>367</v>
      </c>
      <c r="Q140" s="174" t="s">
        <v>507</v>
      </c>
      <c r="R140" s="174" t="s">
        <v>1196</v>
      </c>
      <c r="S140" s="174" t="s">
        <v>881</v>
      </c>
      <c r="T140" s="174">
        <v>2</v>
      </c>
      <c r="U140" s="184"/>
    </row>
    <row r="141" spans="1:21" ht="20.100000000000001" customHeight="1" x14ac:dyDescent="0.2">
      <c r="A141" s="74">
        <v>60626</v>
      </c>
      <c r="B141" s="179" t="s">
        <v>881</v>
      </c>
      <c r="C141" s="74">
        <v>30024047</v>
      </c>
      <c r="D141" s="74" t="s">
        <v>881</v>
      </c>
      <c r="E141" s="174" t="s">
        <v>617</v>
      </c>
      <c r="F141" s="174" t="s">
        <v>335</v>
      </c>
      <c r="G141" s="174" t="s">
        <v>1047</v>
      </c>
      <c r="H141" s="174" t="s">
        <v>332</v>
      </c>
      <c r="I141" s="174" t="s">
        <v>541</v>
      </c>
      <c r="J141" s="174" t="s">
        <v>648</v>
      </c>
      <c r="K141" s="174" t="s">
        <v>334</v>
      </c>
      <c r="L141" s="174">
        <v>20063876</v>
      </c>
      <c r="M141" s="174" t="s">
        <v>908</v>
      </c>
      <c r="N141" s="174" t="s">
        <v>683</v>
      </c>
      <c r="O141" s="174" t="s">
        <v>388</v>
      </c>
      <c r="P141" s="174" t="s">
        <v>1496</v>
      </c>
      <c r="Q141" s="174" t="s">
        <v>406</v>
      </c>
      <c r="R141" s="174" t="s">
        <v>1196</v>
      </c>
      <c r="S141" s="174" t="s">
        <v>881</v>
      </c>
      <c r="T141" s="174">
        <v>4</v>
      </c>
      <c r="U141" s="184"/>
    </row>
    <row r="142" spans="1:21" ht="20.100000000000001" customHeight="1" x14ac:dyDescent="0.2">
      <c r="A142" s="74">
        <v>60627</v>
      </c>
      <c r="B142" s="179" t="s">
        <v>881</v>
      </c>
      <c r="C142" s="74">
        <v>30023920</v>
      </c>
      <c r="D142" s="74" t="s">
        <v>881</v>
      </c>
      <c r="E142" s="174" t="s">
        <v>617</v>
      </c>
      <c r="F142" s="174" t="s">
        <v>335</v>
      </c>
      <c r="G142" s="174" t="s">
        <v>1047</v>
      </c>
      <c r="H142" s="174" t="s">
        <v>332</v>
      </c>
      <c r="I142" s="174" t="s">
        <v>526</v>
      </c>
      <c r="J142" s="174" t="s">
        <v>527</v>
      </c>
      <c r="K142" s="174" t="s">
        <v>334</v>
      </c>
      <c r="L142" s="174">
        <v>20064353</v>
      </c>
      <c r="M142" s="185" t="s">
        <v>73</v>
      </c>
      <c r="N142" s="174" t="s">
        <v>684</v>
      </c>
      <c r="O142" s="174" t="s">
        <v>388</v>
      </c>
      <c r="P142" s="174" t="s">
        <v>1496</v>
      </c>
      <c r="Q142" s="174" t="s">
        <v>406</v>
      </c>
      <c r="R142" s="174" t="s">
        <v>1196</v>
      </c>
      <c r="S142" s="174" t="s">
        <v>881</v>
      </c>
      <c r="T142" s="174">
        <v>4</v>
      </c>
      <c r="U142" s="184"/>
    </row>
    <row r="143" spans="1:21" ht="20.100000000000001" customHeight="1" x14ac:dyDescent="0.2">
      <c r="A143" s="74">
        <v>60628</v>
      </c>
      <c r="B143" s="179" t="s">
        <v>881</v>
      </c>
      <c r="C143" s="74">
        <v>30024149</v>
      </c>
      <c r="D143" s="74" t="s">
        <v>881</v>
      </c>
      <c r="E143" s="174" t="s">
        <v>617</v>
      </c>
      <c r="F143" s="174" t="s">
        <v>335</v>
      </c>
      <c r="G143" s="174" t="s">
        <v>1047</v>
      </c>
      <c r="H143" s="174" t="s">
        <v>332</v>
      </c>
      <c r="I143" s="174" t="s">
        <v>603</v>
      </c>
      <c r="J143" s="174" t="s">
        <v>527</v>
      </c>
      <c r="K143" s="174" t="s">
        <v>334</v>
      </c>
      <c r="L143" s="174">
        <v>20063521</v>
      </c>
      <c r="M143" s="185" t="s">
        <v>73</v>
      </c>
      <c r="N143" s="174" t="s">
        <v>913</v>
      </c>
      <c r="O143" s="174" t="s">
        <v>462</v>
      </c>
      <c r="P143" s="174" t="s">
        <v>461</v>
      </c>
      <c r="Q143" s="174" t="s">
        <v>412</v>
      </c>
      <c r="R143" s="174" t="s">
        <v>509</v>
      </c>
      <c r="S143" s="174">
        <v>40056401</v>
      </c>
      <c r="T143" s="174">
        <v>3</v>
      </c>
      <c r="U143" s="184"/>
    </row>
    <row r="144" spans="1:21" ht="20.100000000000001" customHeight="1" x14ac:dyDescent="0.2">
      <c r="A144" s="74">
        <v>60629</v>
      </c>
      <c r="B144" s="179" t="s">
        <v>881</v>
      </c>
      <c r="C144" s="74">
        <v>30024150</v>
      </c>
      <c r="D144" s="74" t="s">
        <v>881</v>
      </c>
      <c r="E144" s="174" t="s">
        <v>617</v>
      </c>
      <c r="F144" s="174" t="s">
        <v>604</v>
      </c>
      <c r="G144" s="174" t="s">
        <v>1041</v>
      </c>
      <c r="H144" s="174" t="s">
        <v>330</v>
      </c>
      <c r="I144" s="174" t="s">
        <v>605</v>
      </c>
      <c r="J144" s="174" t="s">
        <v>109</v>
      </c>
      <c r="K144" s="174" t="s">
        <v>334</v>
      </c>
      <c r="L144" s="174">
        <v>20063526</v>
      </c>
      <c r="M144" s="185" t="s">
        <v>73</v>
      </c>
      <c r="N144" s="174" t="s">
        <v>544</v>
      </c>
      <c r="O144" s="174" t="s">
        <v>501</v>
      </c>
      <c r="P144" s="174" t="s">
        <v>385</v>
      </c>
      <c r="Q144" s="174" t="s">
        <v>412</v>
      </c>
      <c r="R144" s="174" t="s">
        <v>1196</v>
      </c>
      <c r="S144" s="174">
        <v>40059713</v>
      </c>
      <c r="T144" s="174">
        <v>3</v>
      </c>
      <c r="U144" s="184"/>
    </row>
    <row r="145" spans="1:21" ht="20.100000000000001" customHeight="1" x14ac:dyDescent="0.2">
      <c r="A145" s="74">
        <v>60630</v>
      </c>
      <c r="B145" s="179" t="s">
        <v>881</v>
      </c>
      <c r="C145" s="74">
        <v>30024151</v>
      </c>
      <c r="D145" s="74" t="s">
        <v>881</v>
      </c>
      <c r="E145" s="174" t="s">
        <v>874</v>
      </c>
      <c r="F145" s="174" t="s">
        <v>335</v>
      </c>
      <c r="G145" s="174" t="s">
        <v>1041</v>
      </c>
      <c r="H145" s="174" t="s">
        <v>330</v>
      </c>
      <c r="I145" s="174" t="s">
        <v>614</v>
      </c>
      <c r="J145" s="174" t="s">
        <v>338</v>
      </c>
      <c r="K145" s="174" t="s">
        <v>334</v>
      </c>
      <c r="L145" s="174">
        <v>20063532</v>
      </c>
      <c r="M145" s="185" t="s">
        <v>73</v>
      </c>
      <c r="N145" s="174" t="s">
        <v>542</v>
      </c>
      <c r="O145" s="174" t="s">
        <v>613</v>
      </c>
      <c r="P145" s="174" t="s">
        <v>615</v>
      </c>
      <c r="Q145" s="174" t="s">
        <v>406</v>
      </c>
      <c r="R145" s="174" t="s">
        <v>1196</v>
      </c>
      <c r="S145" s="174" t="s">
        <v>881</v>
      </c>
      <c r="T145" s="174">
        <v>4</v>
      </c>
      <c r="U145" s="184"/>
    </row>
    <row r="146" spans="1:21" ht="20.100000000000001" customHeight="1" x14ac:dyDescent="0.2">
      <c r="A146" s="74">
        <v>60631</v>
      </c>
      <c r="B146" s="179" t="s">
        <v>881</v>
      </c>
      <c r="C146" s="74">
        <v>30024048</v>
      </c>
      <c r="D146" s="74" t="s">
        <v>881</v>
      </c>
      <c r="E146" s="174" t="s">
        <v>872</v>
      </c>
      <c r="F146" s="174" t="s">
        <v>335</v>
      </c>
      <c r="G146" s="174" t="s">
        <v>1041</v>
      </c>
      <c r="H146" s="174" t="s">
        <v>330</v>
      </c>
      <c r="I146" s="174" t="s">
        <v>351</v>
      </c>
      <c r="J146" s="174" t="s">
        <v>37</v>
      </c>
      <c r="K146" s="174" t="s">
        <v>334</v>
      </c>
      <c r="L146" s="174">
        <v>20063521</v>
      </c>
      <c r="M146" s="185" t="s">
        <v>73</v>
      </c>
      <c r="N146" s="174" t="s">
        <v>881</v>
      </c>
      <c r="O146" s="174" t="s">
        <v>462</v>
      </c>
      <c r="P146" s="174" t="s">
        <v>461</v>
      </c>
      <c r="Q146" s="174" t="s">
        <v>412</v>
      </c>
      <c r="R146" s="174" t="s">
        <v>509</v>
      </c>
      <c r="S146" s="174" t="s">
        <v>881</v>
      </c>
      <c r="T146" s="174">
        <v>3</v>
      </c>
      <c r="U146" s="184"/>
    </row>
    <row r="147" spans="1:21" ht="20.100000000000001" customHeight="1" x14ac:dyDescent="0.2">
      <c r="A147" s="74">
        <v>60635</v>
      </c>
      <c r="B147" s="179" t="s">
        <v>881</v>
      </c>
      <c r="C147" s="74">
        <v>30024348</v>
      </c>
      <c r="D147" s="74" t="s">
        <v>881</v>
      </c>
      <c r="E147" s="174" t="s">
        <v>870</v>
      </c>
      <c r="F147" s="174" t="s">
        <v>335</v>
      </c>
      <c r="G147" s="174" t="s">
        <v>1054</v>
      </c>
      <c r="H147" s="174" t="s">
        <v>330</v>
      </c>
      <c r="I147" s="174" t="s">
        <v>523</v>
      </c>
      <c r="J147" s="174" t="s">
        <v>543</v>
      </c>
      <c r="K147" s="174" t="s">
        <v>334</v>
      </c>
      <c r="L147" s="174">
        <v>20063641</v>
      </c>
      <c r="M147" s="185" t="s">
        <v>73</v>
      </c>
      <c r="N147" s="174" t="s">
        <v>544</v>
      </c>
      <c r="O147" s="174" t="s">
        <v>610</v>
      </c>
      <c r="P147" s="174" t="s">
        <v>385</v>
      </c>
      <c r="Q147" s="174" t="s">
        <v>412</v>
      </c>
      <c r="R147" s="174" t="s">
        <v>1196</v>
      </c>
      <c r="S147" s="174" t="s">
        <v>881</v>
      </c>
      <c r="T147" s="174">
        <v>3</v>
      </c>
      <c r="U147" s="184"/>
    </row>
    <row r="148" spans="1:21" ht="20.100000000000001" customHeight="1" x14ac:dyDescent="0.2">
      <c r="A148" s="74">
        <v>60636</v>
      </c>
      <c r="B148" s="179" t="s">
        <v>881</v>
      </c>
      <c r="C148" s="74">
        <v>30024152</v>
      </c>
      <c r="D148" s="74" t="s">
        <v>881</v>
      </c>
      <c r="E148" s="174" t="s">
        <v>870</v>
      </c>
      <c r="F148" s="174" t="s">
        <v>335</v>
      </c>
      <c r="G148" s="174" t="s">
        <v>1052</v>
      </c>
      <c r="H148" s="174" t="s">
        <v>326</v>
      </c>
      <c r="I148" s="174" t="s">
        <v>523</v>
      </c>
      <c r="J148" s="174" t="s">
        <v>543</v>
      </c>
      <c r="K148" s="174" t="s">
        <v>334</v>
      </c>
      <c r="L148" s="174">
        <v>20063663</v>
      </c>
      <c r="M148" s="185" t="s">
        <v>73</v>
      </c>
      <c r="N148" s="174" t="s">
        <v>544</v>
      </c>
      <c r="O148" s="174" t="s">
        <v>524</v>
      </c>
      <c r="P148" s="174" t="s">
        <v>419</v>
      </c>
      <c r="Q148" s="174" t="s">
        <v>412</v>
      </c>
      <c r="R148" s="174" t="s">
        <v>509</v>
      </c>
      <c r="S148" s="174">
        <v>40056401</v>
      </c>
      <c r="T148" s="174">
        <v>3</v>
      </c>
      <c r="U148" s="184"/>
    </row>
    <row r="149" spans="1:21" ht="20.100000000000001" customHeight="1" x14ac:dyDescent="0.2">
      <c r="A149" s="74">
        <v>60650</v>
      </c>
      <c r="B149" s="179" t="s">
        <v>881</v>
      </c>
      <c r="C149" s="74">
        <v>30023921</v>
      </c>
      <c r="D149" s="74" t="s">
        <v>881</v>
      </c>
      <c r="E149" s="174" t="s">
        <v>881</v>
      </c>
      <c r="F149" s="174" t="s">
        <v>335</v>
      </c>
      <c r="G149" s="153" t="s">
        <v>1004</v>
      </c>
      <c r="H149" s="174" t="s">
        <v>332</v>
      </c>
      <c r="I149" s="174" t="s">
        <v>519</v>
      </c>
      <c r="J149" s="174" t="s">
        <v>101</v>
      </c>
      <c r="K149" s="174" t="s">
        <v>334</v>
      </c>
      <c r="L149" s="174">
        <v>20064574</v>
      </c>
      <c r="M149" s="185" t="s">
        <v>73</v>
      </c>
      <c r="N149" s="174" t="s">
        <v>520</v>
      </c>
      <c r="O149" s="174" t="s">
        <v>418</v>
      </c>
      <c r="P149" s="174" t="s">
        <v>419</v>
      </c>
      <c r="Q149" s="174" t="s">
        <v>412</v>
      </c>
      <c r="R149" s="174" t="s">
        <v>509</v>
      </c>
      <c r="S149" s="174" t="s">
        <v>881</v>
      </c>
      <c r="T149" s="174">
        <v>3</v>
      </c>
      <c r="U149" s="184"/>
    </row>
    <row r="150" spans="1:21" ht="20.100000000000001" customHeight="1" x14ac:dyDescent="0.2">
      <c r="A150" s="74">
        <v>60665</v>
      </c>
      <c r="B150" s="179" t="s">
        <v>881</v>
      </c>
      <c r="C150" s="74">
        <v>30024049</v>
      </c>
      <c r="D150" s="74" t="s">
        <v>881</v>
      </c>
      <c r="E150" s="174" t="s">
        <v>617</v>
      </c>
      <c r="F150" s="174" t="s">
        <v>335</v>
      </c>
      <c r="G150" s="174" t="s">
        <v>987</v>
      </c>
      <c r="H150" s="174" t="s">
        <v>336</v>
      </c>
      <c r="I150" s="174" t="s">
        <v>521</v>
      </c>
      <c r="J150" s="174" t="s">
        <v>101</v>
      </c>
      <c r="K150" s="174" t="s">
        <v>334</v>
      </c>
      <c r="L150" s="174">
        <v>20062447</v>
      </c>
      <c r="M150" s="174" t="s">
        <v>73</v>
      </c>
      <c r="N150" s="174" t="s">
        <v>881</v>
      </c>
      <c r="O150" s="174" t="s">
        <v>545</v>
      </c>
      <c r="P150" s="174" t="s">
        <v>382</v>
      </c>
      <c r="Q150" s="174" t="s">
        <v>412</v>
      </c>
      <c r="R150" s="174" t="s">
        <v>1196</v>
      </c>
      <c r="S150" s="174" t="s">
        <v>881</v>
      </c>
      <c r="T150" s="174">
        <v>3</v>
      </c>
      <c r="U150" s="184"/>
    </row>
    <row r="151" spans="1:21" ht="20.100000000000001" customHeight="1" x14ac:dyDescent="0.2">
      <c r="A151" s="74">
        <v>60712</v>
      </c>
      <c r="B151" s="179" t="s">
        <v>881</v>
      </c>
      <c r="C151" s="74">
        <v>30024293</v>
      </c>
      <c r="D151" s="74" t="s">
        <v>881</v>
      </c>
      <c r="E151" s="174" t="s">
        <v>617</v>
      </c>
      <c r="F151" s="174" t="s">
        <v>328</v>
      </c>
      <c r="G151" s="174" t="s">
        <v>1058</v>
      </c>
      <c r="H151" s="174" t="s">
        <v>332</v>
      </c>
      <c r="I151" s="174" t="s">
        <v>611</v>
      </c>
      <c r="J151" s="174" t="s">
        <v>640</v>
      </c>
      <c r="K151" s="174" t="s">
        <v>334</v>
      </c>
      <c r="L151" s="174">
        <v>20065185</v>
      </c>
      <c r="M151" s="185" t="s">
        <v>73</v>
      </c>
      <c r="N151" s="174" t="s">
        <v>1101</v>
      </c>
      <c r="O151" s="174" t="s">
        <v>612</v>
      </c>
      <c r="P151" s="174" t="s">
        <v>367</v>
      </c>
      <c r="Q151" s="174" t="s">
        <v>507</v>
      </c>
      <c r="R151" s="174" t="s">
        <v>1196</v>
      </c>
      <c r="S151" s="174" t="s">
        <v>881</v>
      </c>
      <c r="T151" s="174">
        <v>2</v>
      </c>
      <c r="U151" s="184"/>
    </row>
    <row r="152" spans="1:21" ht="20.100000000000001" customHeight="1" x14ac:dyDescent="0.2">
      <c r="A152" s="74">
        <v>60713</v>
      </c>
      <c r="B152" s="179" t="s">
        <v>881</v>
      </c>
      <c r="C152" s="74" t="s">
        <v>689</v>
      </c>
      <c r="D152" s="74" t="s">
        <v>881</v>
      </c>
      <c r="E152" s="174" t="s">
        <v>872</v>
      </c>
      <c r="F152" s="174" t="s">
        <v>701</v>
      </c>
      <c r="G152" s="174" t="s">
        <v>1058</v>
      </c>
      <c r="H152" s="174" t="s">
        <v>332</v>
      </c>
      <c r="I152" s="174" t="s">
        <v>611</v>
      </c>
      <c r="J152" s="174" t="s">
        <v>640</v>
      </c>
      <c r="K152" s="174" t="s">
        <v>334</v>
      </c>
      <c r="L152" s="174">
        <v>20065185</v>
      </c>
      <c r="M152" s="185" t="s">
        <v>73</v>
      </c>
      <c r="N152" s="174" t="s">
        <v>1101</v>
      </c>
      <c r="O152" s="174" t="s">
        <v>612</v>
      </c>
      <c r="P152" s="174" t="s">
        <v>367</v>
      </c>
      <c r="Q152" s="174" t="s">
        <v>507</v>
      </c>
      <c r="R152" s="174" t="s">
        <v>1196</v>
      </c>
      <c r="S152" s="174" t="s">
        <v>881</v>
      </c>
      <c r="T152" s="174">
        <v>2</v>
      </c>
      <c r="U152" s="184"/>
    </row>
    <row r="153" spans="1:21" ht="20.100000000000001" customHeight="1" x14ac:dyDescent="0.2">
      <c r="A153" s="74">
        <v>60723</v>
      </c>
      <c r="B153" s="179" t="s">
        <v>881</v>
      </c>
      <c r="C153" s="74">
        <v>30024295</v>
      </c>
      <c r="D153" s="74" t="s">
        <v>881</v>
      </c>
      <c r="E153" s="174" t="s">
        <v>617</v>
      </c>
      <c r="F153" s="174" t="s">
        <v>328</v>
      </c>
      <c r="G153" s="174" t="s">
        <v>1046</v>
      </c>
      <c r="H153" s="174" t="s">
        <v>329</v>
      </c>
      <c r="I153" s="174" t="s">
        <v>611</v>
      </c>
      <c r="J153" s="174" t="s">
        <v>640</v>
      </c>
      <c r="K153" s="174" t="s">
        <v>334</v>
      </c>
      <c r="L153" s="174">
        <v>20065185</v>
      </c>
      <c r="M153" s="185" t="s">
        <v>73</v>
      </c>
      <c r="N153" s="174" t="s">
        <v>1101</v>
      </c>
      <c r="O153" s="174" t="s">
        <v>612</v>
      </c>
      <c r="P153" s="174" t="s">
        <v>367</v>
      </c>
      <c r="Q153" s="174" t="s">
        <v>507</v>
      </c>
      <c r="R153" s="174" t="s">
        <v>1196</v>
      </c>
      <c r="S153" s="174" t="s">
        <v>881</v>
      </c>
      <c r="T153" s="174">
        <v>2</v>
      </c>
      <c r="U153" s="184"/>
    </row>
    <row r="154" spans="1:21" ht="20.100000000000001" customHeight="1" x14ac:dyDescent="0.2">
      <c r="A154" s="74">
        <v>60724</v>
      </c>
      <c r="B154" s="179" t="s">
        <v>881</v>
      </c>
      <c r="C154" s="74">
        <v>30024296</v>
      </c>
      <c r="D154" s="74" t="s">
        <v>881</v>
      </c>
      <c r="E154" s="174" t="s">
        <v>617</v>
      </c>
      <c r="F154" s="174" t="s">
        <v>328</v>
      </c>
      <c r="G154" s="174" t="s">
        <v>1058</v>
      </c>
      <c r="H154" s="174" t="s">
        <v>332</v>
      </c>
      <c r="I154" s="174" t="s">
        <v>611</v>
      </c>
      <c r="J154" s="174" t="s">
        <v>640</v>
      </c>
      <c r="K154" s="174" t="s">
        <v>334</v>
      </c>
      <c r="L154" s="174">
        <v>20065185</v>
      </c>
      <c r="M154" s="185" t="s">
        <v>73</v>
      </c>
      <c r="N154" s="174" t="s">
        <v>1101</v>
      </c>
      <c r="O154" s="174" t="s">
        <v>612</v>
      </c>
      <c r="P154" s="174" t="s">
        <v>367</v>
      </c>
      <c r="Q154" s="174" t="s">
        <v>507</v>
      </c>
      <c r="R154" s="174" t="s">
        <v>1196</v>
      </c>
      <c r="S154" s="174" t="s">
        <v>881</v>
      </c>
      <c r="T154" s="174">
        <v>2</v>
      </c>
      <c r="U154" s="184"/>
    </row>
    <row r="155" spans="1:21" ht="20.100000000000001" customHeight="1" x14ac:dyDescent="0.2">
      <c r="A155" s="74">
        <v>60739</v>
      </c>
      <c r="B155" s="179" t="s">
        <v>881</v>
      </c>
      <c r="C155" s="74">
        <v>30024430</v>
      </c>
      <c r="D155" s="74" t="s">
        <v>881</v>
      </c>
      <c r="E155" s="174" t="s">
        <v>872</v>
      </c>
      <c r="F155" s="174" t="s">
        <v>671</v>
      </c>
      <c r="G155" s="174" t="s">
        <v>1058</v>
      </c>
      <c r="H155" s="174" t="s">
        <v>332</v>
      </c>
      <c r="I155" s="174" t="s">
        <v>541</v>
      </c>
      <c r="J155" s="174" t="s">
        <v>648</v>
      </c>
      <c r="K155" s="174" t="s">
        <v>334</v>
      </c>
      <c r="L155" s="174">
        <v>20064220</v>
      </c>
      <c r="M155" s="185" t="s">
        <v>73</v>
      </c>
      <c r="N155" s="174" t="s">
        <v>542</v>
      </c>
      <c r="O155" s="174" t="s">
        <v>704</v>
      </c>
      <c r="P155" s="174" t="s">
        <v>1496</v>
      </c>
      <c r="Q155" s="174" t="s">
        <v>406</v>
      </c>
      <c r="R155" s="174" t="s">
        <v>1196</v>
      </c>
      <c r="S155" s="174" t="s">
        <v>881</v>
      </c>
      <c r="T155" s="174">
        <v>4</v>
      </c>
      <c r="U155" s="184"/>
    </row>
    <row r="156" spans="1:21" ht="20.100000000000001" customHeight="1" x14ac:dyDescent="0.2">
      <c r="A156" s="74">
        <v>60750</v>
      </c>
      <c r="B156" s="179" t="s">
        <v>881</v>
      </c>
      <c r="C156" s="74">
        <v>30024349</v>
      </c>
      <c r="D156" s="74" t="s">
        <v>881</v>
      </c>
      <c r="E156" s="174" t="s">
        <v>617</v>
      </c>
      <c r="F156" s="174" t="s">
        <v>335</v>
      </c>
      <c r="G156" s="153" t="s">
        <v>1004</v>
      </c>
      <c r="H156" s="174" t="s">
        <v>332</v>
      </c>
      <c r="I156" s="174" t="s">
        <v>519</v>
      </c>
      <c r="J156" s="174" t="s">
        <v>101</v>
      </c>
      <c r="K156" s="174" t="s">
        <v>334</v>
      </c>
      <c r="L156" s="174">
        <v>20063625</v>
      </c>
      <c r="M156" s="185" t="s">
        <v>73</v>
      </c>
      <c r="N156" s="174" t="s">
        <v>544</v>
      </c>
      <c r="O156" s="174" t="s">
        <v>418</v>
      </c>
      <c r="P156" s="174" t="s">
        <v>419</v>
      </c>
      <c r="Q156" s="174" t="s">
        <v>412</v>
      </c>
      <c r="R156" s="174" t="s">
        <v>509</v>
      </c>
      <c r="S156" s="174" t="s">
        <v>881</v>
      </c>
      <c r="T156" s="174">
        <v>3</v>
      </c>
      <c r="U156" s="184"/>
    </row>
    <row r="157" spans="1:21" ht="20.100000000000001" customHeight="1" x14ac:dyDescent="0.2">
      <c r="A157" s="74">
        <v>60793</v>
      </c>
      <c r="B157" s="179" t="s">
        <v>881</v>
      </c>
      <c r="C157" s="74">
        <v>30024350</v>
      </c>
      <c r="D157" s="74" t="s">
        <v>881</v>
      </c>
      <c r="E157" s="174" t="s">
        <v>617</v>
      </c>
      <c r="F157" s="174" t="s">
        <v>328</v>
      </c>
      <c r="G157" s="174" t="s">
        <v>1058</v>
      </c>
      <c r="H157" s="174" t="s">
        <v>332</v>
      </c>
      <c r="I157" s="174" t="s">
        <v>658</v>
      </c>
      <c r="J157" s="174" t="s">
        <v>659</v>
      </c>
      <c r="K157" s="174" t="s">
        <v>334</v>
      </c>
      <c r="L157" s="174">
        <v>20064803</v>
      </c>
      <c r="M157" s="185" t="s">
        <v>73</v>
      </c>
      <c r="N157" s="174" t="s">
        <v>881</v>
      </c>
      <c r="O157" s="174" t="s">
        <v>660</v>
      </c>
      <c r="P157" s="174" t="s">
        <v>657</v>
      </c>
      <c r="Q157" s="174" t="s">
        <v>507</v>
      </c>
      <c r="R157" s="174" t="s">
        <v>509</v>
      </c>
      <c r="S157" s="174" t="s">
        <v>881</v>
      </c>
      <c r="T157" s="174" t="s">
        <v>633</v>
      </c>
      <c r="U157" s="184"/>
    </row>
    <row r="158" spans="1:21" ht="20.100000000000001" customHeight="1" x14ac:dyDescent="0.2">
      <c r="A158" s="74">
        <v>60794</v>
      </c>
      <c r="B158" s="179" t="s">
        <v>881</v>
      </c>
      <c r="C158" s="74">
        <v>30024297</v>
      </c>
      <c r="D158" s="74" t="s">
        <v>881</v>
      </c>
      <c r="E158" s="174" t="s">
        <v>617</v>
      </c>
      <c r="F158" s="174" t="s">
        <v>328</v>
      </c>
      <c r="G158" s="174" t="s">
        <v>1058</v>
      </c>
      <c r="H158" s="174" t="s">
        <v>332</v>
      </c>
      <c r="I158" s="174" t="s">
        <v>629</v>
      </c>
      <c r="J158" s="174" t="s">
        <v>650</v>
      </c>
      <c r="K158" s="174" t="s">
        <v>334</v>
      </c>
      <c r="L158" s="174">
        <v>20064803</v>
      </c>
      <c r="M158" s="185" t="s">
        <v>73</v>
      </c>
      <c r="N158" s="174" t="s">
        <v>881</v>
      </c>
      <c r="O158" s="174" t="s">
        <v>651</v>
      </c>
      <c r="P158" s="174" t="s">
        <v>657</v>
      </c>
      <c r="Q158" s="174" t="s">
        <v>507</v>
      </c>
      <c r="R158" s="174" t="s">
        <v>509</v>
      </c>
      <c r="S158" s="174" t="s">
        <v>881</v>
      </c>
      <c r="T158" s="174" t="s">
        <v>633</v>
      </c>
      <c r="U158" s="184"/>
    </row>
    <row r="159" spans="1:21" ht="20.100000000000001" customHeight="1" x14ac:dyDescent="0.2">
      <c r="A159" s="74">
        <v>60800</v>
      </c>
      <c r="B159" s="179" t="s">
        <v>881</v>
      </c>
      <c r="C159" s="74">
        <v>30024153</v>
      </c>
      <c r="D159" s="74" t="s">
        <v>881</v>
      </c>
      <c r="E159" s="174" t="s">
        <v>870</v>
      </c>
      <c r="F159" s="174" t="s">
        <v>335</v>
      </c>
      <c r="G159" s="174" t="s">
        <v>1041</v>
      </c>
      <c r="H159" s="174" t="s">
        <v>336</v>
      </c>
      <c r="I159" s="174" t="s">
        <v>642</v>
      </c>
      <c r="J159" s="174" t="s">
        <v>547</v>
      </c>
      <c r="K159" s="174" t="s">
        <v>334</v>
      </c>
      <c r="L159" s="174">
        <v>20063861</v>
      </c>
      <c r="M159" s="185" t="s">
        <v>73</v>
      </c>
      <c r="N159" s="174" t="s">
        <v>544</v>
      </c>
      <c r="O159" s="174" t="s">
        <v>643</v>
      </c>
      <c r="P159" s="174" t="s">
        <v>385</v>
      </c>
      <c r="Q159" s="174" t="s">
        <v>412</v>
      </c>
      <c r="R159" s="174" t="s">
        <v>1196</v>
      </c>
      <c r="S159" s="174">
        <v>40061308</v>
      </c>
      <c r="T159" s="174">
        <v>3</v>
      </c>
      <c r="U159" s="184"/>
    </row>
    <row r="160" spans="1:21" ht="20.100000000000001" customHeight="1" x14ac:dyDescent="0.2">
      <c r="A160" s="74">
        <v>60808</v>
      </c>
      <c r="B160" s="179" t="s">
        <v>881</v>
      </c>
      <c r="C160" s="74">
        <v>30024351</v>
      </c>
      <c r="D160" s="74" t="s">
        <v>881</v>
      </c>
      <c r="E160" s="174" t="s">
        <v>617</v>
      </c>
      <c r="F160" s="174" t="s">
        <v>335</v>
      </c>
      <c r="G160" s="174" t="s">
        <v>1047</v>
      </c>
      <c r="H160" s="174" t="s">
        <v>332</v>
      </c>
      <c r="I160" s="174" t="s">
        <v>541</v>
      </c>
      <c r="J160" s="174" t="s">
        <v>648</v>
      </c>
      <c r="K160" s="174" t="s">
        <v>334</v>
      </c>
      <c r="L160" s="174">
        <v>20064353</v>
      </c>
      <c r="M160" s="185" t="s">
        <v>73</v>
      </c>
      <c r="N160" s="174" t="s">
        <v>683</v>
      </c>
      <c r="O160" s="174" t="s">
        <v>388</v>
      </c>
      <c r="P160" s="174" t="s">
        <v>1496</v>
      </c>
      <c r="Q160" s="174" t="s">
        <v>406</v>
      </c>
      <c r="R160" s="174" t="s">
        <v>1196</v>
      </c>
      <c r="S160" s="174">
        <v>40063271</v>
      </c>
      <c r="T160" s="174">
        <v>4</v>
      </c>
      <c r="U160" s="184"/>
    </row>
    <row r="161" spans="1:21" ht="20.100000000000001" customHeight="1" x14ac:dyDescent="0.2">
      <c r="A161" s="74">
        <v>60812</v>
      </c>
      <c r="B161" s="179" t="s">
        <v>881</v>
      </c>
      <c r="C161" s="74">
        <v>30024352</v>
      </c>
      <c r="D161" s="74" t="s">
        <v>881</v>
      </c>
      <c r="E161" s="174" t="s">
        <v>617</v>
      </c>
      <c r="F161" s="174" t="s">
        <v>672</v>
      </c>
      <c r="G161" s="174" t="s">
        <v>1041</v>
      </c>
      <c r="H161" s="174" t="s">
        <v>330</v>
      </c>
      <c r="I161" s="174" t="s">
        <v>351</v>
      </c>
      <c r="J161" s="174" t="s">
        <v>37</v>
      </c>
      <c r="K161" s="174" t="s">
        <v>334</v>
      </c>
      <c r="L161" s="174">
        <v>20064549</v>
      </c>
      <c r="M161" s="185" t="s">
        <v>73</v>
      </c>
      <c r="N161" s="174" t="s">
        <v>881</v>
      </c>
      <c r="O161" s="174" t="s">
        <v>664</v>
      </c>
      <c r="P161" s="174" t="s">
        <v>382</v>
      </c>
      <c r="Q161" s="174" t="s">
        <v>412</v>
      </c>
      <c r="R161" s="174" t="s">
        <v>1196</v>
      </c>
      <c r="S161" s="174" t="s">
        <v>881</v>
      </c>
      <c r="T161" s="174">
        <v>3</v>
      </c>
      <c r="U161" s="184"/>
    </row>
    <row r="162" spans="1:21" ht="20.100000000000001" customHeight="1" x14ac:dyDescent="0.2">
      <c r="A162" s="74">
        <v>60818</v>
      </c>
      <c r="B162" s="179" t="s">
        <v>881</v>
      </c>
      <c r="C162" s="74">
        <v>30024353</v>
      </c>
      <c r="D162" s="74" t="s">
        <v>881</v>
      </c>
      <c r="E162" s="174" t="s">
        <v>617</v>
      </c>
      <c r="F162" s="174" t="s">
        <v>335</v>
      </c>
      <c r="G162" s="174" t="s">
        <v>1041</v>
      </c>
      <c r="H162" s="174" t="s">
        <v>330</v>
      </c>
      <c r="I162" s="174" t="s">
        <v>605</v>
      </c>
      <c r="J162" s="174" t="s">
        <v>109</v>
      </c>
      <c r="K162" s="174" t="s">
        <v>334</v>
      </c>
      <c r="L162" s="174">
        <v>20064574</v>
      </c>
      <c r="M162" s="185" t="s">
        <v>73</v>
      </c>
      <c r="N162" s="174" t="s">
        <v>544</v>
      </c>
      <c r="O162" s="174" t="s">
        <v>500</v>
      </c>
      <c r="P162" s="174" t="s">
        <v>419</v>
      </c>
      <c r="Q162" s="174" t="s">
        <v>412</v>
      </c>
      <c r="R162" s="174" t="s">
        <v>509</v>
      </c>
      <c r="S162" s="174" t="s">
        <v>881</v>
      </c>
      <c r="T162" s="174">
        <v>3</v>
      </c>
      <c r="U162" s="184"/>
    </row>
    <row r="163" spans="1:21" ht="20.100000000000001" customHeight="1" x14ac:dyDescent="0.2">
      <c r="A163" s="74">
        <v>60827</v>
      </c>
      <c r="B163" s="179" t="s">
        <v>881</v>
      </c>
      <c r="C163" s="74">
        <v>30024298</v>
      </c>
      <c r="D163" s="74" t="s">
        <v>881</v>
      </c>
      <c r="E163" s="174" t="s">
        <v>617</v>
      </c>
      <c r="F163" s="174" t="s">
        <v>335</v>
      </c>
      <c r="G163" s="174" t="s">
        <v>1047</v>
      </c>
      <c r="H163" s="174" t="s">
        <v>332</v>
      </c>
      <c r="I163" s="174" t="s">
        <v>603</v>
      </c>
      <c r="J163" s="174" t="s">
        <v>527</v>
      </c>
      <c r="K163" s="174" t="s">
        <v>334</v>
      </c>
      <c r="L163" s="174">
        <v>20064573</v>
      </c>
      <c r="M163" s="185" t="s">
        <v>73</v>
      </c>
      <c r="N163" s="174" t="s">
        <v>881</v>
      </c>
      <c r="O163" s="174" t="s">
        <v>462</v>
      </c>
      <c r="P163" s="174" t="s">
        <v>461</v>
      </c>
      <c r="Q163" s="174" t="s">
        <v>412</v>
      </c>
      <c r="R163" s="174" t="s">
        <v>509</v>
      </c>
      <c r="S163" s="174" t="s">
        <v>881</v>
      </c>
      <c r="T163" s="174">
        <v>3</v>
      </c>
      <c r="U163" s="184"/>
    </row>
    <row r="164" spans="1:21" ht="20.100000000000001" customHeight="1" x14ac:dyDescent="0.2">
      <c r="A164" s="74">
        <v>60848</v>
      </c>
      <c r="B164" s="179" t="s">
        <v>881</v>
      </c>
      <c r="C164" s="74">
        <v>30024354</v>
      </c>
      <c r="D164" s="74" t="s">
        <v>881</v>
      </c>
      <c r="E164" s="174" t="s">
        <v>877</v>
      </c>
      <c r="F164" s="174" t="s">
        <v>671</v>
      </c>
      <c r="G164" s="174" t="s">
        <v>1041</v>
      </c>
      <c r="H164" s="174" t="s">
        <v>330</v>
      </c>
      <c r="I164" s="174" t="s">
        <v>673</v>
      </c>
      <c r="J164" s="174" t="s">
        <v>338</v>
      </c>
      <c r="K164" s="174" t="s">
        <v>334</v>
      </c>
      <c r="L164" s="174">
        <v>20064475</v>
      </c>
      <c r="M164" s="185" t="s">
        <v>73</v>
      </c>
      <c r="N164" s="174" t="s">
        <v>634</v>
      </c>
      <c r="O164" s="174" t="s">
        <v>421</v>
      </c>
      <c r="P164" s="174" t="s">
        <v>422</v>
      </c>
      <c r="Q164" s="174" t="s">
        <v>412</v>
      </c>
      <c r="R164" s="174" t="s">
        <v>509</v>
      </c>
      <c r="S164" s="174" t="s">
        <v>881</v>
      </c>
      <c r="T164" s="174">
        <v>3</v>
      </c>
      <c r="U164" s="184"/>
    </row>
    <row r="165" spans="1:21" ht="20.100000000000001" customHeight="1" x14ac:dyDescent="0.2">
      <c r="A165" s="74">
        <v>60850</v>
      </c>
      <c r="B165" s="179" t="s">
        <v>881</v>
      </c>
      <c r="C165" s="74">
        <v>30023976</v>
      </c>
      <c r="D165" s="74" t="s">
        <v>881</v>
      </c>
      <c r="E165" s="174" t="s">
        <v>870</v>
      </c>
      <c r="F165" s="174" t="s">
        <v>335</v>
      </c>
      <c r="G165" s="174" t="s">
        <v>1047</v>
      </c>
      <c r="H165" s="174" t="s">
        <v>332</v>
      </c>
      <c r="I165" s="174" t="s">
        <v>546</v>
      </c>
      <c r="J165" s="174" t="s">
        <v>547</v>
      </c>
      <c r="K165" s="174" t="s">
        <v>334</v>
      </c>
      <c r="L165" s="174">
        <v>20064114</v>
      </c>
      <c r="M165" s="174" t="s">
        <v>73</v>
      </c>
      <c r="N165" s="174" t="s">
        <v>548</v>
      </c>
      <c r="O165" s="174" t="s">
        <v>549</v>
      </c>
      <c r="P165" s="174" t="s">
        <v>419</v>
      </c>
      <c r="Q165" s="174" t="s">
        <v>412</v>
      </c>
      <c r="R165" s="174" t="s">
        <v>509</v>
      </c>
      <c r="S165" s="174" t="s">
        <v>881</v>
      </c>
      <c r="T165" s="174">
        <v>3</v>
      </c>
      <c r="U165" s="184"/>
    </row>
    <row r="166" spans="1:21" ht="20.100000000000001" customHeight="1" x14ac:dyDescent="0.2">
      <c r="A166" s="74">
        <v>60900</v>
      </c>
      <c r="B166" s="179" t="s">
        <v>881</v>
      </c>
      <c r="C166" s="74">
        <v>30024154</v>
      </c>
      <c r="D166" s="74" t="s">
        <v>881</v>
      </c>
      <c r="E166" s="174" t="s">
        <v>617</v>
      </c>
      <c r="F166" s="174" t="s">
        <v>328</v>
      </c>
      <c r="G166" s="174" t="s">
        <v>1058</v>
      </c>
      <c r="H166" s="174" t="s">
        <v>332</v>
      </c>
      <c r="I166" s="174" t="s">
        <v>629</v>
      </c>
      <c r="J166" s="174" t="s">
        <v>650</v>
      </c>
      <c r="K166" s="174" t="s">
        <v>334</v>
      </c>
      <c r="L166" s="174">
        <v>20064185</v>
      </c>
      <c r="M166" s="185" t="s">
        <v>73</v>
      </c>
      <c r="N166" s="174" t="s">
        <v>881</v>
      </c>
      <c r="O166" s="174" t="s">
        <v>630</v>
      </c>
      <c r="P166" s="174" t="s">
        <v>657</v>
      </c>
      <c r="Q166" s="174" t="s">
        <v>507</v>
      </c>
      <c r="R166" s="174" t="s">
        <v>509</v>
      </c>
      <c r="S166" s="174" t="s">
        <v>881</v>
      </c>
      <c r="T166" s="174" t="s">
        <v>633</v>
      </c>
      <c r="U166" s="184"/>
    </row>
    <row r="167" spans="1:21" ht="20.100000000000001" customHeight="1" x14ac:dyDescent="0.2">
      <c r="A167" s="74">
        <v>60950</v>
      </c>
      <c r="B167" s="179" t="s">
        <v>881</v>
      </c>
      <c r="C167" s="74">
        <v>30024419</v>
      </c>
      <c r="D167" s="74" t="s">
        <v>881</v>
      </c>
      <c r="E167" s="174" t="s">
        <v>617</v>
      </c>
      <c r="F167" s="174" t="s">
        <v>702</v>
      </c>
      <c r="G167" s="174" t="s">
        <v>1058</v>
      </c>
      <c r="H167" s="174" t="s">
        <v>332</v>
      </c>
      <c r="I167" s="174" t="s">
        <v>611</v>
      </c>
      <c r="J167" s="174" t="s">
        <v>640</v>
      </c>
      <c r="K167" s="174" t="s">
        <v>334</v>
      </c>
      <c r="L167" s="174">
        <v>20064511</v>
      </c>
      <c r="M167" s="185" t="s">
        <v>73</v>
      </c>
      <c r="N167" s="174" t="s">
        <v>1101</v>
      </c>
      <c r="O167" s="174" t="s">
        <v>612</v>
      </c>
      <c r="P167" s="174" t="s">
        <v>367</v>
      </c>
      <c r="Q167" s="174" t="s">
        <v>507</v>
      </c>
      <c r="R167" s="174" t="s">
        <v>1196</v>
      </c>
      <c r="S167" s="174" t="s">
        <v>881</v>
      </c>
      <c r="T167" s="174">
        <v>2</v>
      </c>
      <c r="U167" s="184"/>
    </row>
    <row r="168" spans="1:21" ht="20.100000000000001" customHeight="1" x14ac:dyDescent="0.2">
      <c r="A168" s="74">
        <v>61000</v>
      </c>
      <c r="B168" s="179" t="s">
        <v>881</v>
      </c>
      <c r="C168" s="74">
        <v>30024418</v>
      </c>
      <c r="D168" s="74" t="s">
        <v>881</v>
      </c>
      <c r="E168" s="174" t="s">
        <v>617</v>
      </c>
      <c r="F168" s="174" t="s">
        <v>671</v>
      </c>
      <c r="G168" s="153" t="s">
        <v>1004</v>
      </c>
      <c r="H168" s="174" t="s">
        <v>336</v>
      </c>
      <c r="I168" s="174" t="s">
        <v>333</v>
      </c>
      <c r="J168" s="174" t="s">
        <v>109</v>
      </c>
      <c r="K168" s="174" t="s">
        <v>334</v>
      </c>
      <c r="L168" s="174">
        <v>20064036</v>
      </c>
      <c r="M168" s="185" t="s">
        <v>73</v>
      </c>
      <c r="N168" s="174" t="s">
        <v>881</v>
      </c>
      <c r="O168" s="174" t="s">
        <v>457</v>
      </c>
      <c r="P168" s="174" t="s">
        <v>382</v>
      </c>
      <c r="Q168" s="174" t="s">
        <v>412</v>
      </c>
      <c r="R168" s="174" t="s">
        <v>1196</v>
      </c>
      <c r="S168" s="174" t="s">
        <v>881</v>
      </c>
      <c r="T168" s="174">
        <v>3</v>
      </c>
      <c r="U168" s="184"/>
    </row>
    <row r="169" spans="1:21" ht="20.100000000000001" customHeight="1" x14ac:dyDescent="0.2">
      <c r="A169" s="74">
        <v>61100</v>
      </c>
      <c r="B169" s="179" t="s">
        <v>881</v>
      </c>
      <c r="C169" s="74">
        <v>30024417</v>
      </c>
      <c r="D169" s="74" t="s">
        <v>881</v>
      </c>
      <c r="E169" s="174" t="s">
        <v>617</v>
      </c>
      <c r="F169" s="174" t="s">
        <v>671</v>
      </c>
      <c r="G169" s="174" t="s">
        <v>1050</v>
      </c>
      <c r="H169" s="174" t="s">
        <v>332</v>
      </c>
      <c r="I169" s="174" t="s">
        <v>355</v>
      </c>
      <c r="J169" s="174" t="s">
        <v>356</v>
      </c>
      <c r="K169" s="174" t="s">
        <v>334</v>
      </c>
      <c r="L169" s="174">
        <v>20064577</v>
      </c>
      <c r="M169" s="185" t="s">
        <v>73</v>
      </c>
      <c r="N169" s="174" t="s">
        <v>544</v>
      </c>
      <c r="O169" s="174" t="s">
        <v>644</v>
      </c>
      <c r="P169" s="174" t="s">
        <v>385</v>
      </c>
      <c r="Q169" s="174" t="s">
        <v>412</v>
      </c>
      <c r="R169" s="174" t="s">
        <v>1196</v>
      </c>
      <c r="S169" s="174" t="s">
        <v>881</v>
      </c>
      <c r="T169" s="174">
        <v>3</v>
      </c>
      <c r="U169" s="184"/>
    </row>
    <row r="170" spans="1:21" ht="20.100000000000001" customHeight="1" x14ac:dyDescent="0.2">
      <c r="A170" s="74">
        <v>61250</v>
      </c>
      <c r="B170" s="179" t="s">
        <v>881</v>
      </c>
      <c r="C170" s="74">
        <v>30024416</v>
      </c>
      <c r="D170" s="74" t="s">
        <v>881</v>
      </c>
      <c r="E170" s="174" t="s">
        <v>617</v>
      </c>
      <c r="F170" s="174" t="s">
        <v>702</v>
      </c>
      <c r="G170" s="174" t="s">
        <v>1058</v>
      </c>
      <c r="H170" s="174" t="s">
        <v>332</v>
      </c>
      <c r="I170" s="174" t="s">
        <v>354</v>
      </c>
      <c r="J170" s="174" t="s">
        <v>246</v>
      </c>
      <c r="K170" s="174" t="s">
        <v>334</v>
      </c>
      <c r="L170" s="174">
        <v>20065185</v>
      </c>
      <c r="M170" s="185" t="s">
        <v>73</v>
      </c>
      <c r="N170" s="174" t="s">
        <v>1103</v>
      </c>
      <c r="O170" s="174" t="s">
        <v>502</v>
      </c>
      <c r="P170" s="174" t="s">
        <v>367</v>
      </c>
      <c r="Q170" s="174" t="s">
        <v>507</v>
      </c>
      <c r="R170" s="174" t="s">
        <v>1196</v>
      </c>
      <c r="S170" s="174" t="s">
        <v>881</v>
      </c>
      <c r="T170" s="174">
        <v>2</v>
      </c>
      <c r="U170" s="184"/>
    </row>
    <row r="171" spans="1:21" ht="20.100000000000001" customHeight="1" x14ac:dyDescent="0.2">
      <c r="A171" s="74">
        <v>61400</v>
      </c>
      <c r="B171" s="179" t="s">
        <v>881</v>
      </c>
      <c r="C171" s="74">
        <v>30024415</v>
      </c>
      <c r="D171" s="74" t="s">
        <v>881</v>
      </c>
      <c r="E171" s="174" t="s">
        <v>617</v>
      </c>
      <c r="F171" s="174" t="s">
        <v>702</v>
      </c>
      <c r="G171" s="174" t="s">
        <v>1058</v>
      </c>
      <c r="H171" s="174" t="s">
        <v>332</v>
      </c>
      <c r="I171" s="174" t="s">
        <v>629</v>
      </c>
      <c r="J171" s="174" t="s">
        <v>650</v>
      </c>
      <c r="K171" s="174" t="s">
        <v>334</v>
      </c>
      <c r="L171" s="174">
        <v>20065186</v>
      </c>
      <c r="M171" s="185" t="s">
        <v>73</v>
      </c>
      <c r="N171" s="174" t="s">
        <v>881</v>
      </c>
      <c r="O171" s="174" t="s">
        <v>630</v>
      </c>
      <c r="P171" s="174" t="s">
        <v>657</v>
      </c>
      <c r="Q171" s="174" t="s">
        <v>507</v>
      </c>
      <c r="R171" s="174" t="s">
        <v>509</v>
      </c>
      <c r="S171" s="174" t="s">
        <v>881</v>
      </c>
      <c r="T171" s="174" t="s">
        <v>633</v>
      </c>
      <c r="U171" s="184"/>
    </row>
    <row r="172" spans="1:21" ht="20.100000000000001" customHeight="1" x14ac:dyDescent="0.2">
      <c r="A172" s="74">
        <v>61450</v>
      </c>
      <c r="B172" s="179" t="s">
        <v>881</v>
      </c>
      <c r="C172" s="74">
        <v>30024414</v>
      </c>
      <c r="D172" s="74" t="s">
        <v>881</v>
      </c>
      <c r="E172" s="174" t="s">
        <v>617</v>
      </c>
      <c r="F172" s="174" t="s">
        <v>702</v>
      </c>
      <c r="G172" s="174" t="s">
        <v>1046</v>
      </c>
      <c r="H172" s="174" t="s">
        <v>329</v>
      </c>
      <c r="I172" s="174" t="s">
        <v>354</v>
      </c>
      <c r="J172" s="174" t="s">
        <v>246</v>
      </c>
      <c r="K172" s="174" t="s">
        <v>334</v>
      </c>
      <c r="L172" s="174">
        <v>20065185</v>
      </c>
      <c r="M172" s="185" t="s">
        <v>73</v>
      </c>
      <c r="N172" s="174" t="s">
        <v>1103</v>
      </c>
      <c r="O172" s="174" t="s">
        <v>502</v>
      </c>
      <c r="P172" s="174" t="s">
        <v>367</v>
      </c>
      <c r="Q172" s="174" t="s">
        <v>507</v>
      </c>
      <c r="R172" s="174" t="s">
        <v>1196</v>
      </c>
      <c r="S172" s="174" t="s">
        <v>881</v>
      </c>
      <c r="T172" s="174">
        <v>2</v>
      </c>
      <c r="U172" s="184"/>
    </row>
    <row r="173" spans="1:21" ht="20.100000000000001" customHeight="1" x14ac:dyDescent="0.2">
      <c r="A173" s="74">
        <v>61500</v>
      </c>
      <c r="B173" s="179" t="s">
        <v>881</v>
      </c>
      <c r="C173" s="74">
        <v>30024413</v>
      </c>
      <c r="D173" s="74" t="s">
        <v>881</v>
      </c>
      <c r="E173" s="174" t="s">
        <v>617</v>
      </c>
      <c r="F173" s="174" t="s">
        <v>671</v>
      </c>
      <c r="G173" s="174" t="s">
        <v>1053</v>
      </c>
      <c r="H173" s="174" t="s">
        <v>332</v>
      </c>
      <c r="I173" s="174" t="s">
        <v>519</v>
      </c>
      <c r="J173" s="174" t="s">
        <v>101</v>
      </c>
      <c r="K173" s="174" t="s">
        <v>334</v>
      </c>
      <c r="L173" s="174">
        <v>20064695</v>
      </c>
      <c r="M173" s="185" t="s">
        <v>73</v>
      </c>
      <c r="N173" s="174" t="s">
        <v>544</v>
      </c>
      <c r="O173" s="174" t="s">
        <v>418</v>
      </c>
      <c r="P173" s="174" t="s">
        <v>419</v>
      </c>
      <c r="Q173" s="174" t="s">
        <v>412</v>
      </c>
      <c r="R173" s="174" t="s">
        <v>509</v>
      </c>
      <c r="S173" s="174" t="s">
        <v>881</v>
      </c>
      <c r="T173" s="174">
        <v>3</v>
      </c>
      <c r="U173" s="184"/>
    </row>
    <row r="174" spans="1:21" ht="20.100000000000001" customHeight="1" x14ac:dyDescent="0.2">
      <c r="A174" s="74">
        <v>61700</v>
      </c>
      <c r="B174" s="179" t="s">
        <v>881</v>
      </c>
      <c r="C174" s="74">
        <v>30024412</v>
      </c>
      <c r="D174" s="74" t="s">
        <v>881</v>
      </c>
      <c r="E174" s="174" t="s">
        <v>617</v>
      </c>
      <c r="F174" s="174" t="s">
        <v>702</v>
      </c>
      <c r="G174" s="174" t="s">
        <v>1058</v>
      </c>
      <c r="H174" s="174" t="s">
        <v>332</v>
      </c>
      <c r="I174" s="174" t="s">
        <v>658</v>
      </c>
      <c r="J174" s="174" t="s">
        <v>686</v>
      </c>
      <c r="K174" s="174" t="s">
        <v>334</v>
      </c>
      <c r="L174" s="174">
        <v>20064185</v>
      </c>
      <c r="M174" s="185" t="s">
        <v>73</v>
      </c>
      <c r="N174" s="174" t="s">
        <v>881</v>
      </c>
      <c r="O174" s="174" t="s">
        <v>685</v>
      </c>
      <c r="P174" s="174" t="s">
        <v>657</v>
      </c>
      <c r="Q174" s="174" t="s">
        <v>507</v>
      </c>
      <c r="R174" s="174" t="s">
        <v>509</v>
      </c>
      <c r="S174" s="174" t="s">
        <v>881</v>
      </c>
      <c r="T174" s="174" t="s">
        <v>633</v>
      </c>
      <c r="U174" s="184"/>
    </row>
    <row r="175" spans="1:21" ht="20.100000000000001" customHeight="1" x14ac:dyDescent="0.2">
      <c r="A175" s="74">
        <v>98449</v>
      </c>
      <c r="B175" s="179" t="s">
        <v>881</v>
      </c>
      <c r="C175" s="74">
        <v>30020798</v>
      </c>
      <c r="D175" s="74" t="s">
        <v>881</v>
      </c>
      <c r="E175" s="174" t="s">
        <v>881</v>
      </c>
      <c r="F175" s="174" t="s">
        <v>21</v>
      </c>
      <c r="G175" s="174" t="s">
        <v>1047</v>
      </c>
      <c r="H175" s="174" t="s">
        <v>329</v>
      </c>
      <c r="I175" s="174" t="s">
        <v>12</v>
      </c>
      <c r="J175" s="174" t="s">
        <v>13</v>
      </c>
      <c r="K175" s="174" t="s">
        <v>1072</v>
      </c>
      <c r="L175" s="174">
        <v>20058873</v>
      </c>
      <c r="M175" s="174" t="s">
        <v>41</v>
      </c>
      <c r="N175" s="174" t="s">
        <v>40</v>
      </c>
      <c r="O175" s="174" t="s">
        <v>369</v>
      </c>
      <c r="P175" s="174" t="s">
        <v>370</v>
      </c>
      <c r="Q175" s="174" t="s">
        <v>412</v>
      </c>
      <c r="R175" s="174" t="s">
        <v>1196</v>
      </c>
      <c r="S175" s="174" t="s">
        <v>881</v>
      </c>
      <c r="T175" s="174">
        <v>3</v>
      </c>
      <c r="U175" s="184"/>
    </row>
    <row r="176" spans="1:21" ht="20.100000000000001" customHeight="1" x14ac:dyDescent="0.2">
      <c r="A176" s="74">
        <v>98537</v>
      </c>
      <c r="B176" s="179" t="s">
        <v>881</v>
      </c>
      <c r="C176" s="74">
        <v>30019411</v>
      </c>
      <c r="D176" s="74" t="s">
        <v>881</v>
      </c>
      <c r="E176" s="174" t="s">
        <v>881</v>
      </c>
      <c r="F176" s="174" t="s">
        <v>21</v>
      </c>
      <c r="G176" s="174" t="s">
        <v>1047</v>
      </c>
      <c r="H176" s="174" t="s">
        <v>329</v>
      </c>
      <c r="I176" s="174" t="s">
        <v>12</v>
      </c>
      <c r="J176" s="174" t="s">
        <v>13</v>
      </c>
      <c r="K176" s="174" t="s">
        <v>1072</v>
      </c>
      <c r="L176" s="174">
        <v>20058873</v>
      </c>
      <c r="M176" s="174" t="s">
        <v>41</v>
      </c>
      <c r="N176" s="174" t="s">
        <v>40</v>
      </c>
      <c r="O176" s="174" t="s">
        <v>369</v>
      </c>
      <c r="P176" s="174" t="s">
        <v>370</v>
      </c>
      <c r="Q176" s="174" t="s">
        <v>412</v>
      </c>
      <c r="R176" s="174" t="s">
        <v>1196</v>
      </c>
      <c r="S176" s="174" t="s">
        <v>881</v>
      </c>
      <c r="T176" s="174">
        <v>3</v>
      </c>
      <c r="U176" s="184"/>
    </row>
    <row r="177" spans="1:21" ht="20.100000000000001" customHeight="1" x14ac:dyDescent="0.2">
      <c r="A177" s="74">
        <v>98602</v>
      </c>
      <c r="B177" s="179" t="s">
        <v>881</v>
      </c>
      <c r="C177" s="74">
        <v>30019127</v>
      </c>
      <c r="D177" s="74" t="s">
        <v>881</v>
      </c>
      <c r="E177" s="174" t="s">
        <v>881</v>
      </c>
      <c r="F177" s="174" t="s">
        <v>21</v>
      </c>
      <c r="G177" s="174" t="s">
        <v>1066</v>
      </c>
      <c r="H177" s="174" t="s">
        <v>329</v>
      </c>
      <c r="I177" s="174" t="s">
        <v>1434</v>
      </c>
      <c r="J177" s="174" t="s">
        <v>15</v>
      </c>
      <c r="K177" s="174" t="s">
        <v>1072</v>
      </c>
      <c r="L177" s="174" t="s">
        <v>34</v>
      </c>
      <c r="M177" s="174" t="s">
        <v>41</v>
      </c>
      <c r="N177" s="174" t="s">
        <v>47</v>
      </c>
      <c r="O177" s="174" t="s">
        <v>881</v>
      </c>
      <c r="P177" s="174" t="s">
        <v>881</v>
      </c>
      <c r="Q177" s="174" t="s">
        <v>881</v>
      </c>
      <c r="R177" s="174" t="s">
        <v>1196</v>
      </c>
      <c r="S177" s="174" t="s">
        <v>881</v>
      </c>
      <c r="T177" s="174" t="s">
        <v>881</v>
      </c>
      <c r="U177" s="184"/>
    </row>
    <row r="178" spans="1:21" ht="20.100000000000001" customHeight="1" x14ac:dyDescent="0.2">
      <c r="A178" s="74">
        <v>98603</v>
      </c>
      <c r="B178" s="179" t="s">
        <v>881</v>
      </c>
      <c r="C178" s="74">
        <v>30019128</v>
      </c>
      <c r="D178" s="74" t="s">
        <v>881</v>
      </c>
      <c r="E178" s="174" t="s">
        <v>881</v>
      </c>
      <c r="F178" s="174" t="s">
        <v>21</v>
      </c>
      <c r="G178" s="174" t="s">
        <v>1066</v>
      </c>
      <c r="H178" s="174" t="s">
        <v>329</v>
      </c>
      <c r="I178" s="174" t="s">
        <v>1434</v>
      </c>
      <c r="J178" s="174" t="s">
        <v>15</v>
      </c>
      <c r="K178" s="174" t="s">
        <v>1072</v>
      </c>
      <c r="L178" s="174" t="s">
        <v>34</v>
      </c>
      <c r="M178" s="174" t="s">
        <v>41</v>
      </c>
      <c r="N178" s="174" t="s">
        <v>47</v>
      </c>
      <c r="O178" s="174" t="s">
        <v>881</v>
      </c>
      <c r="P178" s="174" t="s">
        <v>881</v>
      </c>
      <c r="Q178" s="174" t="s">
        <v>881</v>
      </c>
      <c r="R178" s="174" t="s">
        <v>1196</v>
      </c>
      <c r="S178" s="174" t="s">
        <v>881</v>
      </c>
      <c r="T178" s="174" t="s">
        <v>881</v>
      </c>
      <c r="U178" s="184"/>
    </row>
    <row r="179" spans="1:21" ht="20.100000000000001" customHeight="1" x14ac:dyDescent="0.2">
      <c r="A179" s="74">
        <v>98604</v>
      </c>
      <c r="B179" s="179" t="s">
        <v>881</v>
      </c>
      <c r="C179" s="74">
        <v>30017761</v>
      </c>
      <c r="D179" s="74" t="s">
        <v>881</v>
      </c>
      <c r="E179" s="174" t="s">
        <v>881</v>
      </c>
      <c r="F179" s="174" t="s">
        <v>21</v>
      </c>
      <c r="G179" s="174" t="s">
        <v>1066</v>
      </c>
      <c r="H179" s="174" t="s">
        <v>332</v>
      </c>
      <c r="I179" s="174" t="s">
        <v>1434</v>
      </c>
      <c r="J179" s="174" t="s">
        <v>15</v>
      </c>
      <c r="K179" s="174" t="s">
        <v>1072</v>
      </c>
      <c r="L179" s="174" t="s">
        <v>34</v>
      </c>
      <c r="M179" s="174" t="s">
        <v>41</v>
      </c>
      <c r="N179" s="174" t="s">
        <v>47</v>
      </c>
      <c r="O179" s="174" t="s">
        <v>881</v>
      </c>
      <c r="P179" s="174" t="s">
        <v>881</v>
      </c>
      <c r="Q179" s="174" t="s">
        <v>881</v>
      </c>
      <c r="R179" s="174" t="s">
        <v>1196</v>
      </c>
      <c r="S179" s="174" t="s">
        <v>881</v>
      </c>
      <c r="T179" s="174" t="s">
        <v>881</v>
      </c>
      <c r="U179" s="184"/>
    </row>
    <row r="180" spans="1:21" ht="20.100000000000001" customHeight="1" x14ac:dyDescent="0.2">
      <c r="A180" s="74">
        <v>98647</v>
      </c>
      <c r="B180" s="179" t="s">
        <v>881</v>
      </c>
      <c r="C180" s="74">
        <v>30019129</v>
      </c>
      <c r="D180" s="74" t="s">
        <v>881</v>
      </c>
      <c r="E180" s="174" t="s">
        <v>881</v>
      </c>
      <c r="F180" s="174" t="s">
        <v>21</v>
      </c>
      <c r="G180" s="174" t="s">
        <v>1066</v>
      </c>
      <c r="H180" s="174" t="s">
        <v>332</v>
      </c>
      <c r="I180" s="174" t="s">
        <v>1434</v>
      </c>
      <c r="J180" s="174" t="s">
        <v>15</v>
      </c>
      <c r="K180" s="174" t="s">
        <v>1072</v>
      </c>
      <c r="L180" s="174" t="s">
        <v>34</v>
      </c>
      <c r="M180" s="174" t="s">
        <v>41</v>
      </c>
      <c r="N180" s="174" t="s">
        <v>47</v>
      </c>
      <c r="O180" s="174" t="s">
        <v>881</v>
      </c>
      <c r="P180" s="174" t="s">
        <v>881</v>
      </c>
      <c r="Q180" s="174" t="s">
        <v>881</v>
      </c>
      <c r="R180" s="174" t="s">
        <v>1196</v>
      </c>
      <c r="S180" s="174" t="s">
        <v>881</v>
      </c>
      <c r="T180" s="174" t="s">
        <v>881</v>
      </c>
      <c r="U180" s="184"/>
    </row>
    <row r="181" spans="1:21" ht="20.100000000000001" customHeight="1" x14ac:dyDescent="0.2">
      <c r="A181" s="74">
        <v>98674</v>
      </c>
      <c r="B181" s="179" t="s">
        <v>881</v>
      </c>
      <c r="C181" s="74">
        <v>30019107</v>
      </c>
      <c r="D181" s="74" t="s">
        <v>881</v>
      </c>
      <c r="E181" s="174" t="s">
        <v>881</v>
      </c>
      <c r="F181" s="174" t="s">
        <v>335</v>
      </c>
      <c r="G181" s="174" t="s">
        <v>1041</v>
      </c>
      <c r="H181" s="174" t="s">
        <v>332</v>
      </c>
      <c r="I181" s="174" t="s">
        <v>599</v>
      </c>
      <c r="J181" s="174" t="s">
        <v>36</v>
      </c>
      <c r="K181" s="174" t="s">
        <v>1073</v>
      </c>
      <c r="L181" s="174">
        <v>20056439</v>
      </c>
      <c r="M181" s="174" t="s">
        <v>41</v>
      </c>
      <c r="N181" s="174" t="s">
        <v>881</v>
      </c>
      <c r="O181" s="174" t="s">
        <v>423</v>
      </c>
      <c r="P181" s="174" t="s">
        <v>838</v>
      </c>
      <c r="Q181" s="174" t="s">
        <v>412</v>
      </c>
      <c r="R181" s="174" t="s">
        <v>1196</v>
      </c>
      <c r="S181" s="174" t="s">
        <v>881</v>
      </c>
      <c r="T181" s="174">
        <v>3</v>
      </c>
      <c r="U181" s="184"/>
    </row>
    <row r="182" spans="1:21" ht="20.100000000000001" customHeight="1" x14ac:dyDescent="0.2">
      <c r="A182" s="74">
        <v>98689</v>
      </c>
      <c r="B182" s="179" t="s">
        <v>881</v>
      </c>
      <c r="C182" s="74">
        <v>30019419</v>
      </c>
      <c r="D182" s="74" t="s">
        <v>881</v>
      </c>
      <c r="E182" s="174" t="s">
        <v>881</v>
      </c>
      <c r="F182" s="174" t="s">
        <v>21</v>
      </c>
      <c r="G182" s="174" t="s">
        <v>1065</v>
      </c>
      <c r="H182" s="174" t="s">
        <v>332</v>
      </c>
      <c r="I182" s="174" t="s">
        <v>1435</v>
      </c>
      <c r="J182" s="174" t="s">
        <v>3</v>
      </c>
      <c r="K182" s="174" t="s">
        <v>1072</v>
      </c>
      <c r="L182" s="174" t="s">
        <v>42</v>
      </c>
      <c r="M182" s="174" t="s">
        <v>41</v>
      </c>
      <c r="N182" s="174" t="s">
        <v>47</v>
      </c>
      <c r="O182" s="174" t="s">
        <v>881</v>
      </c>
      <c r="P182" s="174" t="s">
        <v>881</v>
      </c>
      <c r="Q182" s="174" t="s">
        <v>881</v>
      </c>
      <c r="R182" s="174" t="s">
        <v>1196</v>
      </c>
      <c r="S182" s="174" t="s">
        <v>881</v>
      </c>
      <c r="T182" s="174" t="s">
        <v>881</v>
      </c>
      <c r="U182" s="184"/>
    </row>
    <row r="183" spans="1:21" ht="20.100000000000001" customHeight="1" x14ac:dyDescent="0.2">
      <c r="A183" s="74">
        <v>98705</v>
      </c>
      <c r="B183" s="179" t="s">
        <v>881</v>
      </c>
      <c r="C183" s="74">
        <v>30019160</v>
      </c>
      <c r="D183" s="74" t="s">
        <v>881</v>
      </c>
      <c r="E183" s="174" t="s">
        <v>881</v>
      </c>
      <c r="F183" s="174" t="s">
        <v>21</v>
      </c>
      <c r="G183" s="174" t="s">
        <v>1066</v>
      </c>
      <c r="H183" s="174" t="s">
        <v>332</v>
      </c>
      <c r="I183" s="174" t="s">
        <v>1435</v>
      </c>
      <c r="J183" s="174" t="s">
        <v>3</v>
      </c>
      <c r="K183" s="174" t="s">
        <v>1072</v>
      </c>
      <c r="L183" s="174" t="s">
        <v>28</v>
      </c>
      <c r="M183" s="174" t="s">
        <v>43</v>
      </c>
      <c r="N183" s="174" t="s">
        <v>47</v>
      </c>
      <c r="O183" s="174" t="s">
        <v>881</v>
      </c>
      <c r="P183" s="174" t="s">
        <v>881</v>
      </c>
      <c r="Q183" s="174" t="s">
        <v>881</v>
      </c>
      <c r="R183" s="174" t="s">
        <v>1196</v>
      </c>
      <c r="S183" s="174" t="s">
        <v>881</v>
      </c>
      <c r="T183" s="174" t="s">
        <v>881</v>
      </c>
      <c r="U183" s="184"/>
    </row>
    <row r="184" spans="1:21" ht="20.100000000000001" customHeight="1" x14ac:dyDescent="0.2">
      <c r="A184" s="74">
        <v>98706</v>
      </c>
      <c r="B184" s="179" t="s">
        <v>881</v>
      </c>
      <c r="C184" s="74">
        <v>30018288</v>
      </c>
      <c r="D184" s="74" t="s">
        <v>881</v>
      </c>
      <c r="E184" s="174" t="s">
        <v>881</v>
      </c>
      <c r="F184" s="174" t="s">
        <v>21</v>
      </c>
      <c r="G184" s="174" t="s">
        <v>1068</v>
      </c>
      <c r="H184" s="174" t="s">
        <v>332</v>
      </c>
      <c r="I184" s="174" t="s">
        <v>1435</v>
      </c>
      <c r="J184" s="174" t="s">
        <v>3</v>
      </c>
      <c r="K184" s="174" t="s">
        <v>1072</v>
      </c>
      <c r="L184" s="174" t="s">
        <v>28</v>
      </c>
      <c r="M184" s="174" t="s">
        <v>43</v>
      </c>
      <c r="N184" s="174" t="s">
        <v>47</v>
      </c>
      <c r="O184" s="174" t="s">
        <v>881</v>
      </c>
      <c r="P184" s="174" t="s">
        <v>881</v>
      </c>
      <c r="Q184" s="174" t="s">
        <v>881</v>
      </c>
      <c r="R184" s="174" t="s">
        <v>1196</v>
      </c>
      <c r="S184" s="174" t="s">
        <v>881</v>
      </c>
      <c r="T184" s="174" t="s">
        <v>881</v>
      </c>
      <c r="U184" s="184"/>
    </row>
    <row r="185" spans="1:21" ht="20.100000000000001" customHeight="1" x14ac:dyDescent="0.2">
      <c r="A185" s="74">
        <v>98707</v>
      </c>
      <c r="B185" s="179" t="s">
        <v>881</v>
      </c>
      <c r="C185" s="74">
        <v>30018287</v>
      </c>
      <c r="D185" s="74" t="s">
        <v>881</v>
      </c>
      <c r="E185" s="174" t="s">
        <v>881</v>
      </c>
      <c r="F185" s="174" t="s">
        <v>21</v>
      </c>
      <c r="G185" s="174" t="s">
        <v>1047</v>
      </c>
      <c r="H185" s="174" t="s">
        <v>332</v>
      </c>
      <c r="I185" s="174" t="s">
        <v>12</v>
      </c>
      <c r="J185" s="174" t="s">
        <v>13</v>
      </c>
      <c r="K185" s="174" t="s">
        <v>1072</v>
      </c>
      <c r="L185" s="174">
        <v>20058873</v>
      </c>
      <c r="M185" s="174" t="s">
        <v>41</v>
      </c>
      <c r="N185" s="174" t="s">
        <v>45</v>
      </c>
      <c r="O185" s="174" t="s">
        <v>369</v>
      </c>
      <c r="P185" s="174" t="s">
        <v>371</v>
      </c>
      <c r="Q185" s="174" t="s">
        <v>412</v>
      </c>
      <c r="R185" s="174" t="s">
        <v>1196</v>
      </c>
      <c r="S185" s="174" t="s">
        <v>881</v>
      </c>
      <c r="T185" s="174">
        <v>3</v>
      </c>
      <c r="U185" s="184"/>
    </row>
    <row r="186" spans="1:21" ht="20.100000000000001" customHeight="1" x14ac:dyDescent="0.2">
      <c r="A186" s="74">
        <v>98714</v>
      </c>
      <c r="B186" s="179" t="s">
        <v>881</v>
      </c>
      <c r="C186" s="74">
        <v>30019161</v>
      </c>
      <c r="D186" s="74" t="s">
        <v>881</v>
      </c>
      <c r="E186" s="174" t="s">
        <v>881</v>
      </c>
      <c r="F186" s="174" t="s">
        <v>335</v>
      </c>
      <c r="G186" s="174" t="s">
        <v>1066</v>
      </c>
      <c r="H186" s="174" t="s">
        <v>332</v>
      </c>
      <c r="I186" s="174" t="s">
        <v>1436</v>
      </c>
      <c r="J186" s="174" t="s">
        <v>32</v>
      </c>
      <c r="K186" s="174" t="s">
        <v>1072</v>
      </c>
      <c r="L186" s="174" t="s">
        <v>33</v>
      </c>
      <c r="M186" s="174" t="s">
        <v>922</v>
      </c>
      <c r="N186" s="174" t="s">
        <v>60</v>
      </c>
      <c r="O186" s="174" t="s">
        <v>424</v>
      </c>
      <c r="P186" s="174" t="s">
        <v>425</v>
      </c>
      <c r="Q186" s="174" t="s">
        <v>412</v>
      </c>
      <c r="R186" s="174" t="s">
        <v>1196</v>
      </c>
      <c r="S186" s="174" t="s">
        <v>881</v>
      </c>
      <c r="T186" s="174">
        <v>3</v>
      </c>
      <c r="U186" s="184"/>
    </row>
    <row r="187" spans="1:21" ht="20.100000000000001" customHeight="1" x14ac:dyDescent="0.2">
      <c r="A187" s="74">
        <v>98716</v>
      </c>
      <c r="B187" s="179" t="s">
        <v>881</v>
      </c>
      <c r="C187" s="74">
        <v>30018970</v>
      </c>
      <c r="D187" s="74" t="s">
        <v>881</v>
      </c>
      <c r="E187" s="174" t="s">
        <v>881</v>
      </c>
      <c r="F187" s="174" t="s">
        <v>335</v>
      </c>
      <c r="G187" s="174" t="s">
        <v>1066</v>
      </c>
      <c r="H187" s="174" t="s">
        <v>332</v>
      </c>
      <c r="I187" s="174" t="s">
        <v>1437</v>
      </c>
      <c r="J187" s="174" t="s">
        <v>16</v>
      </c>
      <c r="K187" s="174" t="s">
        <v>1072</v>
      </c>
      <c r="L187" s="174" t="s">
        <v>33</v>
      </c>
      <c r="M187" s="174" t="s">
        <v>922</v>
      </c>
      <c r="N187" s="174" t="s">
        <v>60</v>
      </c>
      <c r="O187" s="174" t="s">
        <v>424</v>
      </c>
      <c r="P187" s="174" t="s">
        <v>425</v>
      </c>
      <c r="Q187" s="174" t="s">
        <v>412</v>
      </c>
      <c r="R187" s="174" t="s">
        <v>509</v>
      </c>
      <c r="S187" s="174" t="s">
        <v>881</v>
      </c>
      <c r="T187" s="174">
        <v>1</v>
      </c>
      <c r="U187" s="184"/>
    </row>
    <row r="188" spans="1:21" ht="20.100000000000001" customHeight="1" x14ac:dyDescent="0.2">
      <c r="A188" s="74">
        <v>98806</v>
      </c>
      <c r="B188" s="179" t="s">
        <v>881</v>
      </c>
      <c r="C188" s="74">
        <v>30022634</v>
      </c>
      <c r="D188" s="74" t="s">
        <v>881</v>
      </c>
      <c r="E188" s="174" t="s">
        <v>881</v>
      </c>
      <c r="F188" s="174" t="s">
        <v>21</v>
      </c>
      <c r="G188" s="174" t="s">
        <v>1066</v>
      </c>
      <c r="H188" s="174" t="s">
        <v>332</v>
      </c>
      <c r="I188" s="174" t="s">
        <v>1436</v>
      </c>
      <c r="J188" s="174" t="s">
        <v>35</v>
      </c>
      <c r="K188" s="174" t="s">
        <v>1072</v>
      </c>
      <c r="L188" s="174" t="s">
        <v>34</v>
      </c>
      <c r="M188" s="174" t="s">
        <v>41</v>
      </c>
      <c r="N188" s="174" t="s">
        <v>47</v>
      </c>
      <c r="O188" s="174" t="s">
        <v>881</v>
      </c>
      <c r="P188" s="174" t="s">
        <v>881</v>
      </c>
      <c r="Q188" s="174" t="s">
        <v>881</v>
      </c>
      <c r="R188" s="174" t="s">
        <v>1196</v>
      </c>
      <c r="S188" s="174" t="s">
        <v>881</v>
      </c>
      <c r="T188" s="174" t="s">
        <v>881</v>
      </c>
      <c r="U188" s="184"/>
    </row>
    <row r="189" spans="1:21" ht="20.100000000000001" customHeight="1" x14ac:dyDescent="0.2">
      <c r="A189" s="74">
        <v>98832</v>
      </c>
      <c r="B189" s="179" t="s">
        <v>881</v>
      </c>
      <c r="C189" s="74">
        <v>30019480</v>
      </c>
      <c r="D189" s="74" t="s">
        <v>881</v>
      </c>
      <c r="E189" s="174" t="s">
        <v>881</v>
      </c>
      <c r="F189" s="174" t="s">
        <v>335</v>
      </c>
      <c r="G189" s="174" t="s">
        <v>1047</v>
      </c>
      <c r="H189" s="174" t="s">
        <v>329</v>
      </c>
      <c r="I189" s="174" t="s">
        <v>1438</v>
      </c>
      <c r="J189" s="174" t="s">
        <v>16</v>
      </c>
      <c r="K189" s="174" t="s">
        <v>1072</v>
      </c>
      <c r="L189" s="174">
        <v>20058998</v>
      </c>
      <c r="M189" s="174" t="s">
        <v>41</v>
      </c>
      <c r="N189" s="174" t="s">
        <v>881</v>
      </c>
      <c r="O189" s="174" t="s">
        <v>426</v>
      </c>
      <c r="P189" s="174" t="s">
        <v>427</v>
      </c>
      <c r="Q189" s="174" t="s">
        <v>412</v>
      </c>
      <c r="R189" s="174" t="s">
        <v>1196</v>
      </c>
      <c r="S189" s="174" t="s">
        <v>881</v>
      </c>
      <c r="T189" s="174">
        <v>3</v>
      </c>
      <c r="U189" s="184"/>
    </row>
    <row r="190" spans="1:21" ht="20.100000000000001" customHeight="1" x14ac:dyDescent="0.2">
      <c r="A190" s="74">
        <v>98842</v>
      </c>
      <c r="B190" s="179" t="s">
        <v>881</v>
      </c>
      <c r="C190" s="74">
        <v>30019420</v>
      </c>
      <c r="D190" s="74" t="s">
        <v>881</v>
      </c>
      <c r="E190" s="174" t="s">
        <v>881</v>
      </c>
      <c r="F190" s="174" t="s">
        <v>21</v>
      </c>
      <c r="G190" s="174" t="s">
        <v>1050</v>
      </c>
      <c r="H190" s="174" t="s">
        <v>330</v>
      </c>
      <c r="I190" s="174" t="s">
        <v>1455</v>
      </c>
      <c r="J190" s="174" t="s">
        <v>14</v>
      </c>
      <c r="K190" s="174" t="s">
        <v>1072</v>
      </c>
      <c r="L190" s="174" t="s">
        <v>39</v>
      </c>
      <c r="M190" s="174" t="s">
        <v>73</v>
      </c>
      <c r="N190" s="174" t="s">
        <v>60</v>
      </c>
      <c r="O190" s="174" t="s">
        <v>428</v>
      </c>
      <c r="P190" s="174" t="s">
        <v>429</v>
      </c>
      <c r="Q190" s="174" t="s">
        <v>412</v>
      </c>
      <c r="R190" s="174" t="s">
        <v>509</v>
      </c>
      <c r="S190" s="174" t="s">
        <v>881</v>
      </c>
      <c r="T190" s="174">
        <v>1</v>
      </c>
      <c r="U190" s="184"/>
    </row>
    <row r="191" spans="1:21" ht="20.100000000000001" customHeight="1" x14ac:dyDescent="0.2">
      <c r="A191" s="74">
        <v>98844</v>
      </c>
      <c r="B191" s="179" t="s">
        <v>881</v>
      </c>
      <c r="C191" s="74">
        <v>30020722</v>
      </c>
      <c r="D191" s="74" t="s">
        <v>881</v>
      </c>
      <c r="E191" s="174" t="s">
        <v>881</v>
      </c>
      <c r="F191" s="174" t="s">
        <v>335</v>
      </c>
      <c r="G191" s="174" t="s">
        <v>1047</v>
      </c>
      <c r="H191" s="174" t="s">
        <v>332</v>
      </c>
      <c r="I191" s="174" t="s">
        <v>1438</v>
      </c>
      <c r="J191" s="174" t="s">
        <v>16</v>
      </c>
      <c r="K191" s="174" t="s">
        <v>1072</v>
      </c>
      <c r="L191" s="174">
        <v>20058998</v>
      </c>
      <c r="M191" s="174" t="s">
        <v>41</v>
      </c>
      <c r="N191" s="174" t="s">
        <v>881</v>
      </c>
      <c r="O191" s="174" t="s">
        <v>426</v>
      </c>
      <c r="P191" s="174" t="s">
        <v>427</v>
      </c>
      <c r="Q191" s="174" t="s">
        <v>412</v>
      </c>
      <c r="R191" s="174" t="s">
        <v>1196</v>
      </c>
      <c r="S191" s="174" t="s">
        <v>881</v>
      </c>
      <c r="T191" s="174">
        <v>3</v>
      </c>
      <c r="U191" s="184"/>
    </row>
    <row r="192" spans="1:21" ht="20.100000000000001" customHeight="1" x14ac:dyDescent="0.2">
      <c r="A192" s="74">
        <v>98874</v>
      </c>
      <c r="B192" s="179" t="s">
        <v>881</v>
      </c>
      <c r="C192" s="74">
        <v>30019162</v>
      </c>
      <c r="D192" s="74" t="s">
        <v>881</v>
      </c>
      <c r="E192" s="174" t="s">
        <v>881</v>
      </c>
      <c r="F192" s="174" t="s">
        <v>21</v>
      </c>
      <c r="G192" s="174" t="s">
        <v>1049</v>
      </c>
      <c r="H192" s="174" t="s">
        <v>329</v>
      </c>
      <c r="I192" s="174" t="s">
        <v>1436</v>
      </c>
      <c r="J192" s="174" t="s">
        <v>35</v>
      </c>
      <c r="K192" s="174" t="s">
        <v>1072</v>
      </c>
      <c r="L192" s="174">
        <v>20057819</v>
      </c>
      <c r="M192" s="174" t="s">
        <v>41</v>
      </c>
      <c r="N192" s="174" t="s">
        <v>47</v>
      </c>
      <c r="O192" s="174" t="s">
        <v>881</v>
      </c>
      <c r="P192" s="174" t="s">
        <v>881</v>
      </c>
      <c r="Q192" s="174" t="s">
        <v>881</v>
      </c>
      <c r="R192" s="174" t="s">
        <v>1196</v>
      </c>
      <c r="S192" s="174" t="s">
        <v>881</v>
      </c>
      <c r="T192" s="174" t="s">
        <v>881</v>
      </c>
      <c r="U192" s="184"/>
    </row>
    <row r="193" spans="1:21" ht="20.100000000000001" customHeight="1" x14ac:dyDescent="0.2">
      <c r="A193" s="74">
        <v>98875</v>
      </c>
      <c r="B193" s="179" t="s">
        <v>881</v>
      </c>
      <c r="C193" s="74">
        <v>30019163</v>
      </c>
      <c r="D193" s="74" t="s">
        <v>881</v>
      </c>
      <c r="E193" s="174" t="s">
        <v>881</v>
      </c>
      <c r="F193" s="174" t="s">
        <v>21</v>
      </c>
      <c r="G193" s="174" t="s">
        <v>1058</v>
      </c>
      <c r="H193" s="174" t="s">
        <v>332</v>
      </c>
      <c r="I193" s="174" t="s">
        <v>1437</v>
      </c>
      <c r="J193" s="174" t="s">
        <v>16</v>
      </c>
      <c r="K193" s="174" t="s">
        <v>1072</v>
      </c>
      <c r="L193" s="174" t="s">
        <v>38</v>
      </c>
      <c r="M193" s="174" t="s">
        <v>909</v>
      </c>
      <c r="N193" s="174" t="s">
        <v>47</v>
      </c>
      <c r="O193" s="174" t="s">
        <v>881</v>
      </c>
      <c r="P193" s="174" t="s">
        <v>881</v>
      </c>
      <c r="Q193" s="174" t="s">
        <v>881</v>
      </c>
      <c r="R193" s="174" t="s">
        <v>1196</v>
      </c>
      <c r="S193" s="174" t="s">
        <v>881</v>
      </c>
      <c r="T193" s="174" t="s">
        <v>881</v>
      </c>
      <c r="U193" s="184"/>
    </row>
    <row r="194" spans="1:21" ht="20.100000000000001" customHeight="1" x14ac:dyDescent="0.2">
      <c r="A194" s="74">
        <v>98876</v>
      </c>
      <c r="B194" s="179" t="s">
        <v>881</v>
      </c>
      <c r="C194" s="74">
        <v>30018857</v>
      </c>
      <c r="D194" s="74" t="s">
        <v>881</v>
      </c>
      <c r="E194" s="174" t="s">
        <v>881</v>
      </c>
      <c r="F194" s="174" t="s">
        <v>21</v>
      </c>
      <c r="G194" s="174" t="s">
        <v>1064</v>
      </c>
      <c r="H194" s="174" t="s">
        <v>332</v>
      </c>
      <c r="I194" s="174" t="s">
        <v>1439</v>
      </c>
      <c r="J194" s="174" t="s">
        <v>26</v>
      </c>
      <c r="K194" s="174" t="s">
        <v>1072</v>
      </c>
      <c r="L194" s="174">
        <v>20057646</v>
      </c>
      <c r="M194" s="174" t="s">
        <v>41</v>
      </c>
      <c r="N194" s="174" t="s">
        <v>40</v>
      </c>
      <c r="O194" s="174" t="s">
        <v>372</v>
      </c>
      <c r="P194" s="174" t="s">
        <v>397</v>
      </c>
      <c r="Q194" s="174" t="s">
        <v>396</v>
      </c>
      <c r="R194" s="174" t="s">
        <v>1196</v>
      </c>
      <c r="S194" s="174" t="s">
        <v>881</v>
      </c>
      <c r="T194" s="174">
        <v>1</v>
      </c>
      <c r="U194" s="184"/>
    </row>
    <row r="195" spans="1:21" ht="20.100000000000001" customHeight="1" x14ac:dyDescent="0.2">
      <c r="A195" s="74">
        <v>98878</v>
      </c>
      <c r="B195" s="179" t="s">
        <v>881</v>
      </c>
      <c r="C195" s="74">
        <v>30019716</v>
      </c>
      <c r="D195" s="74" t="s">
        <v>881</v>
      </c>
      <c r="E195" s="174" t="s">
        <v>881</v>
      </c>
      <c r="F195" s="174" t="s">
        <v>21</v>
      </c>
      <c r="G195" s="174" t="s">
        <v>1066</v>
      </c>
      <c r="H195" s="174" t="s">
        <v>332</v>
      </c>
      <c r="I195" s="174" t="s">
        <v>1436</v>
      </c>
      <c r="J195" s="174" t="s">
        <v>32</v>
      </c>
      <c r="K195" s="174" t="s">
        <v>1072</v>
      </c>
      <c r="L195" s="174" t="s">
        <v>30</v>
      </c>
      <c r="M195" s="174" t="s">
        <v>41</v>
      </c>
      <c r="N195" s="174" t="s">
        <v>60</v>
      </c>
      <c r="O195" s="174" t="s">
        <v>424</v>
      </c>
      <c r="P195" s="174" t="s">
        <v>425</v>
      </c>
      <c r="Q195" s="174" t="s">
        <v>412</v>
      </c>
      <c r="R195" s="174" t="s">
        <v>509</v>
      </c>
      <c r="S195" s="174" t="s">
        <v>881</v>
      </c>
      <c r="T195" s="174">
        <v>1</v>
      </c>
      <c r="U195" s="184"/>
    </row>
    <row r="196" spans="1:21" ht="20.100000000000001" customHeight="1" x14ac:dyDescent="0.2">
      <c r="A196" s="74">
        <v>98882</v>
      </c>
      <c r="B196" s="179" t="s">
        <v>881</v>
      </c>
      <c r="C196" s="74">
        <v>30019987</v>
      </c>
      <c r="D196" s="74" t="s">
        <v>881</v>
      </c>
      <c r="E196" s="174" t="s">
        <v>881</v>
      </c>
      <c r="F196" s="174" t="s">
        <v>21</v>
      </c>
      <c r="G196" s="174" t="s">
        <v>1068</v>
      </c>
      <c r="H196" s="174" t="s">
        <v>332</v>
      </c>
      <c r="I196" s="174" t="s">
        <v>1455</v>
      </c>
      <c r="J196" s="174" t="s">
        <v>14</v>
      </c>
      <c r="K196" s="174" t="s">
        <v>1072</v>
      </c>
      <c r="L196" s="174" t="s">
        <v>39</v>
      </c>
      <c r="M196" s="174" t="s">
        <v>73</v>
      </c>
      <c r="N196" s="174" t="s">
        <v>60</v>
      </c>
      <c r="O196" s="174" t="s">
        <v>428</v>
      </c>
      <c r="P196" s="174" t="s">
        <v>429</v>
      </c>
      <c r="Q196" s="174" t="s">
        <v>412</v>
      </c>
      <c r="R196" s="174" t="s">
        <v>509</v>
      </c>
      <c r="S196" s="174" t="s">
        <v>881</v>
      </c>
      <c r="T196" s="174">
        <v>1</v>
      </c>
      <c r="U196" s="184"/>
    </row>
    <row r="197" spans="1:21" ht="20.100000000000001" customHeight="1" x14ac:dyDescent="0.2">
      <c r="A197" s="74">
        <v>98887</v>
      </c>
      <c r="B197" s="179" t="s">
        <v>881</v>
      </c>
      <c r="C197" s="74">
        <v>30021120</v>
      </c>
      <c r="D197" s="74" t="s">
        <v>881</v>
      </c>
      <c r="E197" s="174" t="s">
        <v>881</v>
      </c>
      <c r="F197" s="174" t="s">
        <v>335</v>
      </c>
      <c r="G197" s="174" t="s">
        <v>1047</v>
      </c>
      <c r="H197" s="174" t="s">
        <v>332</v>
      </c>
      <c r="I197" s="174" t="s">
        <v>1436</v>
      </c>
      <c r="J197" s="174" t="s">
        <v>32</v>
      </c>
      <c r="K197" s="174" t="s">
        <v>1072</v>
      </c>
      <c r="L197" s="174">
        <v>20058695</v>
      </c>
      <c r="M197" s="185" t="s">
        <v>41</v>
      </c>
      <c r="N197" s="174" t="s">
        <v>881</v>
      </c>
      <c r="O197" s="174" t="s">
        <v>426</v>
      </c>
      <c r="P197" s="174" t="s">
        <v>427</v>
      </c>
      <c r="Q197" s="174" t="s">
        <v>412</v>
      </c>
      <c r="R197" s="174" t="s">
        <v>1196</v>
      </c>
      <c r="S197" s="174" t="s">
        <v>881</v>
      </c>
      <c r="T197" s="174">
        <v>3</v>
      </c>
      <c r="U197" s="184"/>
    </row>
    <row r="198" spans="1:21" ht="20.100000000000001" customHeight="1" x14ac:dyDescent="0.2">
      <c r="A198" s="74">
        <v>98889</v>
      </c>
      <c r="B198" s="179" t="s">
        <v>881</v>
      </c>
      <c r="C198" s="74">
        <v>30020733</v>
      </c>
      <c r="D198" s="74" t="s">
        <v>881</v>
      </c>
      <c r="E198" s="174" t="s">
        <v>881</v>
      </c>
      <c r="F198" s="174" t="s">
        <v>335</v>
      </c>
      <c r="G198" s="174" t="s">
        <v>1041</v>
      </c>
      <c r="H198" s="174" t="s">
        <v>330</v>
      </c>
      <c r="I198" s="174" t="s">
        <v>1436</v>
      </c>
      <c r="J198" s="174" t="s">
        <v>32</v>
      </c>
      <c r="K198" s="174" t="s">
        <v>1072</v>
      </c>
      <c r="L198" s="174">
        <v>20058580</v>
      </c>
      <c r="M198" s="185" t="s">
        <v>41</v>
      </c>
      <c r="N198" s="174" t="s">
        <v>881</v>
      </c>
      <c r="O198" s="174" t="s">
        <v>426</v>
      </c>
      <c r="P198" s="174" t="s">
        <v>427</v>
      </c>
      <c r="Q198" s="174" t="s">
        <v>412</v>
      </c>
      <c r="R198" s="174" t="s">
        <v>1196</v>
      </c>
      <c r="S198" s="174" t="s">
        <v>881</v>
      </c>
      <c r="T198" s="174">
        <v>3</v>
      </c>
      <c r="U198" s="184"/>
    </row>
    <row r="199" spans="1:21" ht="20.100000000000001" customHeight="1" x14ac:dyDescent="0.2">
      <c r="A199" s="74">
        <v>98908</v>
      </c>
      <c r="B199" s="179" t="s">
        <v>881</v>
      </c>
      <c r="C199" s="74">
        <v>30019334</v>
      </c>
      <c r="D199" s="74" t="s">
        <v>881</v>
      </c>
      <c r="E199" s="174" t="s">
        <v>881</v>
      </c>
      <c r="F199" s="174" t="s">
        <v>21</v>
      </c>
      <c r="G199" s="174" t="s">
        <v>1047</v>
      </c>
      <c r="H199" s="174" t="s">
        <v>329</v>
      </c>
      <c r="I199" s="174" t="s">
        <v>12</v>
      </c>
      <c r="J199" s="174" t="s">
        <v>13</v>
      </c>
      <c r="K199" s="174" t="s">
        <v>1072</v>
      </c>
      <c r="L199" s="174">
        <v>20058873</v>
      </c>
      <c r="M199" s="174" t="s">
        <v>41</v>
      </c>
      <c r="N199" s="174" t="s">
        <v>45</v>
      </c>
      <c r="O199" s="174" t="s">
        <v>369</v>
      </c>
      <c r="P199" s="174" t="s">
        <v>370</v>
      </c>
      <c r="Q199" s="174" t="s">
        <v>412</v>
      </c>
      <c r="R199" s="174" t="s">
        <v>1196</v>
      </c>
      <c r="S199" s="174" t="s">
        <v>881</v>
      </c>
      <c r="T199" s="174">
        <v>3</v>
      </c>
      <c r="U199" s="184"/>
    </row>
    <row r="200" spans="1:21" ht="20.100000000000001" customHeight="1" x14ac:dyDescent="0.2">
      <c r="A200" s="74">
        <v>98924</v>
      </c>
      <c r="B200" s="179" t="s">
        <v>881</v>
      </c>
      <c r="C200" s="74">
        <v>30020396</v>
      </c>
      <c r="D200" s="74" t="s">
        <v>881</v>
      </c>
      <c r="E200" s="174" t="s">
        <v>881</v>
      </c>
      <c r="F200" s="174" t="s">
        <v>20</v>
      </c>
      <c r="G200" s="174" t="s">
        <v>1065</v>
      </c>
      <c r="H200" s="174" t="s">
        <v>329</v>
      </c>
      <c r="I200" s="202" t="s">
        <v>940</v>
      </c>
      <c r="J200" s="174" t="s">
        <v>253</v>
      </c>
      <c r="K200" s="174" t="s">
        <v>1072</v>
      </c>
      <c r="L200" s="174" t="s">
        <v>63</v>
      </c>
      <c r="M200" s="174" t="s">
        <v>73</v>
      </c>
      <c r="N200" s="174" t="s">
        <v>48</v>
      </c>
      <c r="O200" s="174" t="s">
        <v>373</v>
      </c>
      <c r="P200" s="174" t="s">
        <v>374</v>
      </c>
      <c r="Q200" s="174" t="s">
        <v>412</v>
      </c>
      <c r="R200" s="174" t="s">
        <v>509</v>
      </c>
      <c r="S200" s="174" t="s">
        <v>881</v>
      </c>
      <c r="T200" s="174">
        <v>1</v>
      </c>
      <c r="U200" s="184"/>
    </row>
    <row r="201" spans="1:21" ht="20.100000000000001" customHeight="1" x14ac:dyDescent="0.2">
      <c r="A201" s="74">
        <v>98925</v>
      </c>
      <c r="B201" s="179" t="s">
        <v>881</v>
      </c>
      <c r="C201" s="74">
        <v>30019988</v>
      </c>
      <c r="D201" s="74" t="s">
        <v>881</v>
      </c>
      <c r="E201" s="174" t="s">
        <v>881</v>
      </c>
      <c r="F201" s="174" t="s">
        <v>21</v>
      </c>
      <c r="G201" s="174" t="s">
        <v>1066</v>
      </c>
      <c r="H201" s="174" t="s">
        <v>332</v>
      </c>
      <c r="I201" s="202" t="s">
        <v>940</v>
      </c>
      <c r="J201" s="174" t="s">
        <v>253</v>
      </c>
      <c r="K201" s="174" t="s">
        <v>1072</v>
      </c>
      <c r="L201" s="174" t="s">
        <v>29</v>
      </c>
      <c r="M201" s="174" t="s">
        <v>41</v>
      </c>
      <c r="N201" s="174" t="s">
        <v>48</v>
      </c>
      <c r="O201" s="174" t="s">
        <v>373</v>
      </c>
      <c r="P201" s="174" t="s">
        <v>374</v>
      </c>
      <c r="Q201" s="174" t="s">
        <v>412</v>
      </c>
      <c r="R201" s="174" t="s">
        <v>509</v>
      </c>
      <c r="S201" s="174" t="s">
        <v>881</v>
      </c>
      <c r="T201" s="174">
        <v>1</v>
      </c>
      <c r="U201" s="184"/>
    </row>
    <row r="202" spans="1:21" ht="20.100000000000001" customHeight="1" x14ac:dyDescent="0.2">
      <c r="A202" s="74">
        <v>98926</v>
      </c>
      <c r="B202" s="179" t="s">
        <v>881</v>
      </c>
      <c r="C202" s="74">
        <v>30020799</v>
      </c>
      <c r="D202" s="74" t="s">
        <v>881</v>
      </c>
      <c r="E202" s="174" t="s">
        <v>881</v>
      </c>
      <c r="F202" s="174" t="s">
        <v>21</v>
      </c>
      <c r="G202" s="174" t="s">
        <v>1068</v>
      </c>
      <c r="H202" s="174" t="s">
        <v>332</v>
      </c>
      <c r="I202" s="202" t="s">
        <v>940</v>
      </c>
      <c r="J202" s="174" t="s">
        <v>253</v>
      </c>
      <c r="K202" s="174" t="s">
        <v>1072</v>
      </c>
      <c r="L202" s="174" t="s">
        <v>68</v>
      </c>
      <c r="M202" s="174" t="s">
        <v>41</v>
      </c>
      <c r="N202" s="174" t="s">
        <v>69</v>
      </c>
      <c r="O202" s="174" t="s">
        <v>375</v>
      </c>
      <c r="P202" s="174" t="s">
        <v>374</v>
      </c>
      <c r="Q202" s="174" t="s">
        <v>412</v>
      </c>
      <c r="R202" s="174" t="s">
        <v>509</v>
      </c>
      <c r="S202" s="174" t="s">
        <v>881</v>
      </c>
      <c r="T202" s="174">
        <v>1</v>
      </c>
      <c r="U202" s="184"/>
    </row>
    <row r="203" spans="1:21" ht="20.100000000000001" customHeight="1" x14ac:dyDescent="0.2">
      <c r="A203" s="74">
        <v>98927</v>
      </c>
      <c r="B203" s="179" t="s">
        <v>881</v>
      </c>
      <c r="C203" s="74">
        <v>30019369</v>
      </c>
      <c r="D203" s="74" t="s">
        <v>881</v>
      </c>
      <c r="E203" s="174" t="s">
        <v>881</v>
      </c>
      <c r="F203" s="174" t="s">
        <v>21</v>
      </c>
      <c r="G203" s="174" t="s">
        <v>1068</v>
      </c>
      <c r="H203" s="174" t="s">
        <v>332</v>
      </c>
      <c r="I203" s="174" t="s">
        <v>1482</v>
      </c>
      <c r="J203" s="174" t="s">
        <v>55</v>
      </c>
      <c r="K203" s="174" t="s">
        <v>1072</v>
      </c>
      <c r="L203" s="174" t="s">
        <v>68</v>
      </c>
      <c r="M203" s="174" t="s">
        <v>41</v>
      </c>
      <c r="N203" s="174" t="s">
        <v>48</v>
      </c>
      <c r="O203" s="174" t="s">
        <v>373</v>
      </c>
      <c r="P203" s="174" t="s">
        <v>374</v>
      </c>
      <c r="Q203" s="174" t="s">
        <v>412</v>
      </c>
      <c r="R203" s="174" t="s">
        <v>509</v>
      </c>
      <c r="S203" s="174" t="s">
        <v>881</v>
      </c>
      <c r="T203" s="174">
        <v>1</v>
      </c>
      <c r="U203" s="184"/>
    </row>
    <row r="204" spans="1:21" ht="20.100000000000001" customHeight="1" x14ac:dyDescent="0.2">
      <c r="A204" s="74">
        <v>98954</v>
      </c>
      <c r="B204" s="179" t="s">
        <v>881</v>
      </c>
      <c r="C204" s="74">
        <v>30019368</v>
      </c>
      <c r="D204" s="74" t="s">
        <v>881</v>
      </c>
      <c r="E204" s="174" t="s">
        <v>881</v>
      </c>
      <c r="F204" s="174" t="s">
        <v>21</v>
      </c>
      <c r="G204" s="174" t="s">
        <v>1065</v>
      </c>
      <c r="H204" s="174" t="s">
        <v>332</v>
      </c>
      <c r="I204" s="174" t="s">
        <v>1483</v>
      </c>
      <c r="J204" s="174" t="s">
        <v>3</v>
      </c>
      <c r="K204" s="174" t="s">
        <v>1072</v>
      </c>
      <c r="L204" s="174" t="s">
        <v>42</v>
      </c>
      <c r="M204" s="174" t="s">
        <v>41</v>
      </c>
      <c r="N204" s="174" t="s">
        <v>25</v>
      </c>
      <c r="O204" s="174" t="s">
        <v>376</v>
      </c>
      <c r="P204" s="174" t="s">
        <v>377</v>
      </c>
      <c r="Q204" s="174" t="s">
        <v>207</v>
      </c>
      <c r="R204" s="174" t="s">
        <v>1196</v>
      </c>
      <c r="S204" s="174" t="s">
        <v>881</v>
      </c>
      <c r="T204" s="174">
        <v>4</v>
      </c>
      <c r="U204" s="184"/>
    </row>
    <row r="205" spans="1:21" ht="20.100000000000001" customHeight="1" x14ac:dyDescent="0.2">
      <c r="A205" s="74">
        <v>99019</v>
      </c>
      <c r="B205" s="179" t="s">
        <v>881</v>
      </c>
      <c r="C205" s="74">
        <v>30020683</v>
      </c>
      <c r="D205" s="74" t="s">
        <v>881</v>
      </c>
      <c r="E205" s="174" t="s">
        <v>881</v>
      </c>
      <c r="F205" s="174" t="s">
        <v>335</v>
      </c>
      <c r="G205" s="174" t="s">
        <v>1047</v>
      </c>
      <c r="H205" s="174" t="s">
        <v>332</v>
      </c>
      <c r="I205" s="202" t="s">
        <v>940</v>
      </c>
      <c r="J205" s="174" t="s">
        <v>253</v>
      </c>
      <c r="K205" s="174" t="s">
        <v>334</v>
      </c>
      <c r="L205" s="174">
        <v>20060730</v>
      </c>
      <c r="M205" s="174" t="s">
        <v>73</v>
      </c>
      <c r="N205" s="174" t="s">
        <v>323</v>
      </c>
      <c r="O205" s="174" t="s">
        <v>426</v>
      </c>
      <c r="P205" s="174" t="s">
        <v>427</v>
      </c>
      <c r="Q205" s="174" t="s">
        <v>412</v>
      </c>
      <c r="R205" s="174" t="s">
        <v>1196</v>
      </c>
      <c r="S205" s="174" t="s">
        <v>881</v>
      </c>
      <c r="T205" s="174">
        <v>3</v>
      </c>
      <c r="U205" s="184"/>
    </row>
    <row r="206" spans="1:21" ht="20.100000000000001" customHeight="1" x14ac:dyDescent="0.2">
      <c r="A206" s="74">
        <v>99056</v>
      </c>
      <c r="B206" s="179" t="s">
        <v>881</v>
      </c>
      <c r="C206" s="74">
        <v>30016288</v>
      </c>
      <c r="D206" s="74" t="s">
        <v>881</v>
      </c>
      <c r="E206" s="174" t="s">
        <v>881</v>
      </c>
      <c r="F206" s="174" t="s">
        <v>335</v>
      </c>
      <c r="G206" s="174" t="s">
        <v>1060</v>
      </c>
      <c r="H206" s="174" t="s">
        <v>332</v>
      </c>
      <c r="I206" s="174" t="s">
        <v>1484</v>
      </c>
      <c r="J206" s="174" t="s">
        <v>14</v>
      </c>
      <c r="K206" s="174" t="s">
        <v>1073</v>
      </c>
      <c r="L206" s="174">
        <v>20055980</v>
      </c>
      <c r="M206" s="174" t="s">
        <v>44</v>
      </c>
      <c r="N206" s="174" t="s">
        <v>57</v>
      </c>
      <c r="O206" s="174" t="s">
        <v>413</v>
      </c>
      <c r="P206" s="174" t="s">
        <v>414</v>
      </c>
      <c r="Q206" s="174" t="s">
        <v>412</v>
      </c>
      <c r="R206" s="174" t="s">
        <v>1196</v>
      </c>
      <c r="S206" s="174" t="s">
        <v>881</v>
      </c>
      <c r="T206" s="174">
        <v>3</v>
      </c>
      <c r="U206" s="184"/>
    </row>
    <row r="207" spans="1:21" ht="20.100000000000001" customHeight="1" x14ac:dyDescent="0.2">
      <c r="A207" s="74">
        <v>99070</v>
      </c>
      <c r="B207" s="179" t="s">
        <v>881</v>
      </c>
      <c r="C207" s="74">
        <v>30015476</v>
      </c>
      <c r="D207" s="74" t="s">
        <v>881</v>
      </c>
      <c r="E207" s="174" t="s">
        <v>881</v>
      </c>
      <c r="F207" s="174" t="s">
        <v>335</v>
      </c>
      <c r="G207" s="174" t="s">
        <v>1041</v>
      </c>
      <c r="H207" s="174" t="s">
        <v>332</v>
      </c>
      <c r="I207" s="174" t="s">
        <v>1485</v>
      </c>
      <c r="J207" s="174" t="s">
        <v>7</v>
      </c>
      <c r="K207" s="174" t="s">
        <v>1073</v>
      </c>
      <c r="L207" s="174">
        <v>20054293</v>
      </c>
      <c r="M207" s="174" t="s">
        <v>41</v>
      </c>
      <c r="N207" s="174" t="s">
        <v>23</v>
      </c>
      <c r="O207" s="174" t="s">
        <v>430</v>
      </c>
      <c r="P207" s="174" t="s">
        <v>431</v>
      </c>
      <c r="Q207" s="174" t="s">
        <v>432</v>
      </c>
      <c r="R207" s="174" t="s">
        <v>1196</v>
      </c>
      <c r="S207" s="174" t="s">
        <v>881</v>
      </c>
      <c r="T207" s="174">
        <v>3</v>
      </c>
      <c r="U207" s="184"/>
    </row>
    <row r="208" spans="1:21" ht="20.100000000000001" customHeight="1" x14ac:dyDescent="0.2">
      <c r="A208" s="74">
        <v>99075</v>
      </c>
      <c r="B208" s="179" t="s">
        <v>881</v>
      </c>
      <c r="C208" s="74">
        <v>30015734</v>
      </c>
      <c r="D208" s="74" t="s">
        <v>881</v>
      </c>
      <c r="E208" s="174" t="s">
        <v>881</v>
      </c>
      <c r="F208" s="174" t="s">
        <v>335</v>
      </c>
      <c r="G208" s="174" t="s">
        <v>1041</v>
      </c>
      <c r="H208" s="174" t="s">
        <v>330</v>
      </c>
      <c r="I208" s="174" t="s">
        <v>1456</v>
      </c>
      <c r="J208" s="174" t="s">
        <v>11</v>
      </c>
      <c r="K208" s="174" t="s">
        <v>1073</v>
      </c>
      <c r="L208" s="174">
        <v>20054586</v>
      </c>
      <c r="M208" s="174" t="s">
        <v>41</v>
      </c>
      <c r="N208" s="174" t="s">
        <v>881</v>
      </c>
      <c r="O208" s="174" t="s">
        <v>465</v>
      </c>
      <c r="P208" s="174" t="s">
        <v>466</v>
      </c>
      <c r="Q208" s="174" t="s">
        <v>412</v>
      </c>
      <c r="R208" s="174" t="s">
        <v>1196</v>
      </c>
      <c r="S208" s="174" t="s">
        <v>881</v>
      </c>
      <c r="T208" s="174">
        <v>3</v>
      </c>
      <c r="U208" s="184"/>
    </row>
    <row r="209" spans="1:21" ht="20.100000000000001" customHeight="1" x14ac:dyDescent="0.2">
      <c r="A209" s="74">
        <v>99080</v>
      </c>
      <c r="B209" s="179" t="s">
        <v>881</v>
      </c>
      <c r="C209" s="74">
        <v>30015477</v>
      </c>
      <c r="D209" s="74" t="s">
        <v>881</v>
      </c>
      <c r="E209" s="174" t="s">
        <v>881</v>
      </c>
      <c r="F209" s="174" t="s">
        <v>335</v>
      </c>
      <c r="G209" s="174" t="s">
        <v>1067</v>
      </c>
      <c r="H209" s="174" t="s">
        <v>332</v>
      </c>
      <c r="I209" s="174" t="s">
        <v>1486</v>
      </c>
      <c r="J209" s="174" t="s">
        <v>19</v>
      </c>
      <c r="K209" s="174" t="s">
        <v>1073</v>
      </c>
      <c r="L209" s="174">
        <v>20054294</v>
      </c>
      <c r="M209" s="174" t="s">
        <v>44</v>
      </c>
      <c r="N209" s="174" t="s">
        <v>881</v>
      </c>
      <c r="O209" s="174" t="s">
        <v>413</v>
      </c>
      <c r="P209" s="174" t="s">
        <v>414</v>
      </c>
      <c r="Q209" s="174" t="s">
        <v>412</v>
      </c>
      <c r="R209" s="174" t="s">
        <v>1196</v>
      </c>
      <c r="S209" s="174" t="s">
        <v>881</v>
      </c>
      <c r="T209" s="174">
        <v>3</v>
      </c>
      <c r="U209" s="184"/>
    </row>
    <row r="210" spans="1:21" ht="20.100000000000001" customHeight="1" x14ac:dyDescent="0.2">
      <c r="A210" s="74">
        <v>99085</v>
      </c>
      <c r="B210" s="179" t="s">
        <v>881</v>
      </c>
      <c r="C210" s="74">
        <v>30015893</v>
      </c>
      <c r="D210" s="74" t="s">
        <v>881</v>
      </c>
      <c r="E210" s="174" t="s">
        <v>881</v>
      </c>
      <c r="F210" s="174" t="s">
        <v>335</v>
      </c>
      <c r="G210" s="174" t="s">
        <v>1059</v>
      </c>
      <c r="H210" s="174" t="s">
        <v>330</v>
      </c>
      <c r="I210" s="174" t="s">
        <v>1457</v>
      </c>
      <c r="J210" s="174" t="s">
        <v>7</v>
      </c>
      <c r="K210" s="174" t="s">
        <v>1073</v>
      </c>
      <c r="L210" s="174">
        <v>20054774</v>
      </c>
      <c r="M210" s="174" t="s">
        <v>41</v>
      </c>
      <c r="N210" s="174" t="s">
        <v>881</v>
      </c>
      <c r="O210" s="174" t="s">
        <v>471</v>
      </c>
      <c r="P210" s="174" t="s">
        <v>472</v>
      </c>
      <c r="Q210" s="174" t="s">
        <v>220</v>
      </c>
      <c r="R210" s="174" t="s">
        <v>1196</v>
      </c>
      <c r="S210" s="174" t="s">
        <v>881</v>
      </c>
      <c r="T210" s="174">
        <v>3</v>
      </c>
      <c r="U210" s="184"/>
    </row>
    <row r="211" spans="1:21" ht="20.100000000000001" customHeight="1" x14ac:dyDescent="0.2">
      <c r="A211" s="74">
        <v>99087</v>
      </c>
      <c r="B211" s="179" t="s">
        <v>881</v>
      </c>
      <c r="C211" s="74">
        <v>30019106</v>
      </c>
      <c r="D211" s="74" t="s">
        <v>881</v>
      </c>
      <c r="E211" s="174" t="s">
        <v>881</v>
      </c>
      <c r="F211" s="174" t="s">
        <v>20</v>
      </c>
      <c r="G211" s="174" t="s">
        <v>1047</v>
      </c>
      <c r="H211" s="174" t="s">
        <v>332</v>
      </c>
      <c r="I211" s="174" t="s">
        <v>12</v>
      </c>
      <c r="J211" s="174" t="s">
        <v>13</v>
      </c>
      <c r="K211" s="174" t="s">
        <v>1073</v>
      </c>
      <c r="L211" s="174">
        <v>20055163</v>
      </c>
      <c r="M211" s="174" t="s">
        <v>41</v>
      </c>
      <c r="N211" s="174" t="s">
        <v>46</v>
      </c>
      <c r="O211" s="174" t="s">
        <v>378</v>
      </c>
      <c r="P211" s="174" t="s">
        <v>370</v>
      </c>
      <c r="Q211" s="174" t="s">
        <v>412</v>
      </c>
      <c r="R211" s="174" t="s">
        <v>1196</v>
      </c>
      <c r="S211" s="174" t="s">
        <v>881</v>
      </c>
      <c r="T211" s="174">
        <v>3</v>
      </c>
      <c r="U211" s="184"/>
    </row>
    <row r="212" spans="1:21" ht="20.100000000000001" customHeight="1" x14ac:dyDescent="0.2">
      <c r="A212" s="74">
        <v>99089</v>
      </c>
      <c r="B212" s="179" t="s">
        <v>881</v>
      </c>
      <c r="C212" s="74">
        <v>30022635</v>
      </c>
      <c r="D212" s="74" t="s">
        <v>881</v>
      </c>
      <c r="E212" s="174" t="s">
        <v>881</v>
      </c>
      <c r="F212" s="174" t="s">
        <v>21</v>
      </c>
      <c r="G212" s="174" t="s">
        <v>1066</v>
      </c>
      <c r="H212" s="174" t="s">
        <v>332</v>
      </c>
      <c r="I212" s="202" t="s">
        <v>940</v>
      </c>
      <c r="J212" s="174" t="s">
        <v>253</v>
      </c>
      <c r="K212" s="174" t="s">
        <v>1072</v>
      </c>
      <c r="L212" s="174" t="s">
        <v>29</v>
      </c>
      <c r="M212" s="174" t="s">
        <v>41</v>
      </c>
      <c r="N212" s="174" t="s">
        <v>48</v>
      </c>
      <c r="O212" s="174" t="s">
        <v>379</v>
      </c>
      <c r="P212" s="174" t="s">
        <v>374</v>
      </c>
      <c r="Q212" s="174" t="s">
        <v>412</v>
      </c>
      <c r="R212" s="174" t="s">
        <v>509</v>
      </c>
      <c r="S212" s="174" t="s">
        <v>881</v>
      </c>
      <c r="T212" s="174">
        <v>1</v>
      </c>
      <c r="U212" s="184"/>
    </row>
    <row r="213" spans="1:21" ht="20.100000000000001" customHeight="1" x14ac:dyDescent="0.2">
      <c r="A213" s="74">
        <v>99090</v>
      </c>
      <c r="B213" s="179" t="s">
        <v>881</v>
      </c>
      <c r="C213" s="74">
        <v>30015516</v>
      </c>
      <c r="D213" s="74" t="s">
        <v>881</v>
      </c>
      <c r="E213" s="174" t="s">
        <v>881</v>
      </c>
      <c r="F213" s="174" t="s">
        <v>335</v>
      </c>
      <c r="G213" s="174" t="s">
        <v>1047</v>
      </c>
      <c r="H213" s="174" t="s">
        <v>332</v>
      </c>
      <c r="I213" s="174" t="s">
        <v>1487</v>
      </c>
      <c r="J213" s="174" t="s">
        <v>6</v>
      </c>
      <c r="K213" s="174" t="s">
        <v>1073</v>
      </c>
      <c r="L213" s="174">
        <v>20054376</v>
      </c>
      <c r="M213" s="174" t="s">
        <v>41</v>
      </c>
      <c r="N213" s="174" t="s">
        <v>881</v>
      </c>
      <c r="O213" s="174" t="s">
        <v>433</v>
      </c>
      <c r="P213" s="174" t="s">
        <v>434</v>
      </c>
      <c r="Q213" s="174" t="s">
        <v>412</v>
      </c>
      <c r="R213" s="174" t="s">
        <v>1196</v>
      </c>
      <c r="S213" s="174" t="s">
        <v>881</v>
      </c>
      <c r="T213" s="174">
        <v>3</v>
      </c>
      <c r="U213" s="184"/>
    </row>
    <row r="214" spans="1:21" s="139" customFormat="1" ht="20.100000000000001" customHeight="1" x14ac:dyDescent="0.2">
      <c r="A214" s="197">
        <v>99091</v>
      </c>
      <c r="B214" s="198" t="s">
        <v>85</v>
      </c>
      <c r="C214" s="199">
        <v>30021035</v>
      </c>
      <c r="D214" s="199">
        <v>30018317</v>
      </c>
      <c r="E214" s="139" t="s">
        <v>881</v>
      </c>
      <c r="F214" s="139" t="s">
        <v>58</v>
      </c>
      <c r="G214" s="139" t="s">
        <v>1047</v>
      </c>
      <c r="H214" s="139" t="s">
        <v>332</v>
      </c>
      <c r="I214" s="203" t="s">
        <v>940</v>
      </c>
      <c r="J214" s="139" t="s">
        <v>253</v>
      </c>
      <c r="K214" s="139" t="s">
        <v>1072</v>
      </c>
      <c r="L214" s="139">
        <v>20058938</v>
      </c>
      <c r="M214" s="204" t="s">
        <v>41</v>
      </c>
      <c r="N214" s="139" t="s">
        <v>79</v>
      </c>
      <c r="O214" s="139" t="s">
        <v>1200</v>
      </c>
      <c r="P214" s="139" t="s">
        <v>1133</v>
      </c>
      <c r="Q214" s="139" t="s">
        <v>396</v>
      </c>
      <c r="R214" s="139" t="s">
        <v>1196</v>
      </c>
      <c r="S214" s="139" t="s">
        <v>881</v>
      </c>
      <c r="T214" s="139" t="s">
        <v>881</v>
      </c>
      <c r="U214" s="200"/>
    </row>
    <row r="215" spans="1:21" s="139" customFormat="1" ht="20.100000000000001" customHeight="1" x14ac:dyDescent="0.2">
      <c r="A215" s="197">
        <v>99092</v>
      </c>
      <c r="B215" s="198" t="s">
        <v>91</v>
      </c>
      <c r="C215" s="199">
        <v>30021033</v>
      </c>
      <c r="D215" s="199">
        <v>30018318</v>
      </c>
      <c r="E215" s="139" t="s">
        <v>881</v>
      </c>
      <c r="F215" s="139" t="s">
        <v>10</v>
      </c>
      <c r="G215" s="139" t="s">
        <v>1064</v>
      </c>
      <c r="H215" s="139" t="s">
        <v>332</v>
      </c>
      <c r="I215" s="139" t="s">
        <v>1458</v>
      </c>
      <c r="J215" s="139" t="s">
        <v>90</v>
      </c>
      <c r="K215" s="139" t="s">
        <v>1072</v>
      </c>
      <c r="L215" s="139">
        <v>20059371</v>
      </c>
      <c r="M215" s="204" t="s">
        <v>41</v>
      </c>
      <c r="N215" s="139" t="s">
        <v>1201</v>
      </c>
      <c r="O215" s="139" t="s">
        <v>449</v>
      </c>
      <c r="P215" s="139" t="s">
        <v>1133</v>
      </c>
      <c r="Q215" s="139" t="s">
        <v>396</v>
      </c>
      <c r="R215" s="139" t="s">
        <v>1196</v>
      </c>
      <c r="S215" s="139" t="s">
        <v>881</v>
      </c>
      <c r="T215" s="139" t="s">
        <v>881</v>
      </c>
      <c r="U215" s="200"/>
    </row>
    <row r="216" spans="1:21" s="139" customFormat="1" ht="20.100000000000001" customHeight="1" x14ac:dyDescent="0.2">
      <c r="A216" s="197">
        <v>99093</v>
      </c>
      <c r="B216" s="139" t="s">
        <v>103</v>
      </c>
      <c r="C216" s="199">
        <v>30021043</v>
      </c>
      <c r="D216" s="199">
        <v>30018320</v>
      </c>
      <c r="E216" s="139" t="s">
        <v>881</v>
      </c>
      <c r="F216" s="139" t="s">
        <v>10</v>
      </c>
      <c r="G216" s="139" t="s">
        <v>1064</v>
      </c>
      <c r="H216" s="139" t="s">
        <v>336</v>
      </c>
      <c r="I216" s="139" t="s">
        <v>957</v>
      </c>
      <c r="J216" s="139" t="s">
        <v>80</v>
      </c>
      <c r="K216" s="139" t="s">
        <v>1072</v>
      </c>
      <c r="L216" s="139">
        <v>20058996</v>
      </c>
      <c r="M216" s="139" t="s">
        <v>41</v>
      </c>
      <c r="N216" s="139" t="s">
        <v>677</v>
      </c>
      <c r="O216" s="139" t="s">
        <v>1202</v>
      </c>
      <c r="P216" s="139" t="s">
        <v>1210</v>
      </c>
      <c r="Q216" s="139" t="s">
        <v>396</v>
      </c>
      <c r="R216" s="139" t="s">
        <v>1196</v>
      </c>
      <c r="S216" s="139" t="s">
        <v>881</v>
      </c>
      <c r="T216" s="139" t="s">
        <v>881</v>
      </c>
      <c r="U216" s="200"/>
    </row>
    <row r="217" spans="1:21" s="139" customFormat="1" ht="20.100000000000001" customHeight="1" x14ac:dyDescent="0.2">
      <c r="A217" s="197">
        <v>99094</v>
      </c>
      <c r="B217" s="139" t="s">
        <v>86</v>
      </c>
      <c r="C217" s="199">
        <v>30021030</v>
      </c>
      <c r="D217" s="199">
        <v>30018322</v>
      </c>
      <c r="E217" s="139" t="s">
        <v>881</v>
      </c>
      <c r="F217" s="139" t="s">
        <v>10</v>
      </c>
      <c r="G217" s="139" t="s">
        <v>1063</v>
      </c>
      <c r="H217" s="139" t="s">
        <v>336</v>
      </c>
      <c r="I217" s="139" t="s">
        <v>1488</v>
      </c>
      <c r="J217" s="139" t="s">
        <v>84</v>
      </c>
      <c r="K217" s="139" t="s">
        <v>1072</v>
      </c>
      <c r="L217" s="139">
        <v>20059000</v>
      </c>
      <c r="M217" s="204" t="s">
        <v>41</v>
      </c>
      <c r="N217" s="139" t="s">
        <v>681</v>
      </c>
      <c r="O217" s="139" t="s">
        <v>1204</v>
      </c>
      <c r="P217" s="139" t="s">
        <v>1210</v>
      </c>
      <c r="Q217" s="139" t="s">
        <v>881</v>
      </c>
      <c r="R217" s="139" t="s">
        <v>1196</v>
      </c>
      <c r="S217" s="139" t="s">
        <v>881</v>
      </c>
      <c r="T217" s="139" t="s">
        <v>881</v>
      </c>
      <c r="U217" s="200"/>
    </row>
    <row r="218" spans="1:21" ht="20.100000000000001" customHeight="1" x14ac:dyDescent="0.2">
      <c r="A218" s="74">
        <v>99095</v>
      </c>
      <c r="B218" s="179" t="s">
        <v>881</v>
      </c>
      <c r="C218" s="74">
        <v>30016020</v>
      </c>
      <c r="D218" s="74" t="s">
        <v>881</v>
      </c>
      <c r="E218" s="174" t="s">
        <v>881</v>
      </c>
      <c r="F218" s="174" t="s">
        <v>335</v>
      </c>
      <c r="G218" s="174" t="s">
        <v>1071</v>
      </c>
      <c r="H218" s="174" t="s">
        <v>330</v>
      </c>
      <c r="I218" s="174" t="s">
        <v>1459</v>
      </c>
      <c r="J218" s="174" t="s">
        <v>11</v>
      </c>
      <c r="K218" s="174" t="s">
        <v>1073</v>
      </c>
      <c r="L218" s="174">
        <v>40045358</v>
      </c>
      <c r="M218" s="174" t="s">
        <v>41</v>
      </c>
      <c r="N218" s="174" t="s">
        <v>881</v>
      </c>
      <c r="O218" s="174" t="s">
        <v>469</v>
      </c>
      <c r="P218" s="174" t="s">
        <v>470</v>
      </c>
      <c r="Q218" s="174" t="s">
        <v>412</v>
      </c>
      <c r="R218" s="174" t="s">
        <v>1196</v>
      </c>
      <c r="S218" s="174" t="s">
        <v>881</v>
      </c>
      <c r="T218" s="174">
        <v>3</v>
      </c>
      <c r="U218" s="184"/>
    </row>
    <row r="219" spans="1:21" s="139" customFormat="1" ht="20.100000000000001" customHeight="1" x14ac:dyDescent="0.2">
      <c r="A219" s="197">
        <v>99096</v>
      </c>
      <c r="B219" s="139" t="s">
        <v>76</v>
      </c>
      <c r="C219" s="199">
        <v>30020994</v>
      </c>
      <c r="D219" s="199">
        <v>30018316</v>
      </c>
      <c r="E219" s="139" t="s">
        <v>881</v>
      </c>
      <c r="F219" s="139" t="s">
        <v>21</v>
      </c>
      <c r="G219" s="139" t="s">
        <v>1058</v>
      </c>
      <c r="H219" s="139" t="s">
        <v>329</v>
      </c>
      <c r="I219" s="139" t="s">
        <v>1441</v>
      </c>
      <c r="J219" s="139" t="s">
        <v>16</v>
      </c>
      <c r="K219" s="139" t="s">
        <v>1072</v>
      </c>
      <c r="L219" s="139">
        <v>20058982</v>
      </c>
      <c r="M219" s="139" t="s">
        <v>919</v>
      </c>
      <c r="N219" s="139" t="s">
        <v>1319</v>
      </c>
      <c r="O219" s="139" t="s">
        <v>373</v>
      </c>
      <c r="P219" s="139" t="s">
        <v>374</v>
      </c>
      <c r="Q219" s="139" t="s">
        <v>412</v>
      </c>
      <c r="R219" s="139" t="s">
        <v>509</v>
      </c>
      <c r="S219" s="139" t="s">
        <v>881</v>
      </c>
      <c r="T219" s="139" t="s">
        <v>881</v>
      </c>
      <c r="U219" s="200"/>
    </row>
    <row r="220" spans="1:21" s="139" customFormat="1" ht="20.100000000000001" customHeight="1" x14ac:dyDescent="0.2">
      <c r="A220" s="197">
        <v>99097</v>
      </c>
      <c r="B220" s="139" t="s">
        <v>75</v>
      </c>
      <c r="C220" s="199">
        <v>30020995</v>
      </c>
      <c r="D220" s="199">
        <v>30018319</v>
      </c>
      <c r="E220" s="139" t="s">
        <v>881</v>
      </c>
      <c r="F220" s="139" t="s">
        <v>21</v>
      </c>
      <c r="G220" s="139" t="s">
        <v>1066</v>
      </c>
      <c r="H220" s="139" t="s">
        <v>332</v>
      </c>
      <c r="I220" s="139" t="s">
        <v>1440</v>
      </c>
      <c r="J220" s="139" t="s">
        <v>16</v>
      </c>
      <c r="K220" s="139" t="s">
        <v>1072</v>
      </c>
      <c r="L220" s="139" t="s">
        <v>78</v>
      </c>
      <c r="M220" s="139" t="s">
        <v>919</v>
      </c>
      <c r="N220" s="139" t="s">
        <v>1320</v>
      </c>
      <c r="O220" s="139" t="s">
        <v>373</v>
      </c>
      <c r="P220" s="139" t="s">
        <v>374</v>
      </c>
      <c r="Q220" s="139" t="s">
        <v>412</v>
      </c>
      <c r="R220" s="139" t="s">
        <v>509</v>
      </c>
      <c r="S220" s="139" t="s">
        <v>881</v>
      </c>
      <c r="T220" s="139" t="s">
        <v>881</v>
      </c>
      <c r="U220" s="200"/>
    </row>
    <row r="221" spans="1:21" s="139" customFormat="1" ht="20.100000000000001" customHeight="1" x14ac:dyDescent="0.2">
      <c r="A221" s="197">
        <v>99098</v>
      </c>
      <c r="B221" s="198" t="s">
        <v>71</v>
      </c>
      <c r="C221" s="199">
        <v>30021005</v>
      </c>
      <c r="D221" s="199">
        <v>30018321</v>
      </c>
      <c r="E221" s="139" t="s">
        <v>881</v>
      </c>
      <c r="F221" s="139" t="s">
        <v>699</v>
      </c>
      <c r="G221" s="139" t="s">
        <v>1061</v>
      </c>
      <c r="H221" s="139" t="s">
        <v>329</v>
      </c>
      <c r="I221" s="139" t="s">
        <v>348</v>
      </c>
      <c r="J221" s="139" t="s">
        <v>349</v>
      </c>
      <c r="K221" s="139" t="s">
        <v>1072</v>
      </c>
      <c r="L221" s="139">
        <v>20059025</v>
      </c>
      <c r="M221" s="204" t="s">
        <v>73</v>
      </c>
      <c r="N221" s="139" t="s">
        <v>126</v>
      </c>
      <c r="O221" s="139" t="s">
        <v>1205</v>
      </c>
      <c r="P221" s="139" t="s">
        <v>1497</v>
      </c>
      <c r="Q221" s="139" t="s">
        <v>508</v>
      </c>
      <c r="R221" s="139" t="s">
        <v>1196</v>
      </c>
      <c r="S221" s="139" t="s">
        <v>881</v>
      </c>
      <c r="T221" s="139" t="s">
        <v>881</v>
      </c>
      <c r="U221" s="200"/>
    </row>
    <row r="222" spans="1:21" ht="20.100000000000001" customHeight="1" x14ac:dyDescent="0.2">
      <c r="A222" s="74">
        <v>99149</v>
      </c>
      <c r="B222" s="179" t="s">
        <v>881</v>
      </c>
      <c r="C222" s="74">
        <v>30021651</v>
      </c>
      <c r="D222" s="74" t="s">
        <v>881</v>
      </c>
      <c r="E222" s="174" t="s">
        <v>881</v>
      </c>
      <c r="F222" s="174" t="s">
        <v>335</v>
      </c>
      <c r="G222" s="174" t="s">
        <v>1047</v>
      </c>
      <c r="H222" s="174" t="s">
        <v>332</v>
      </c>
      <c r="I222" s="174" t="s">
        <v>1460</v>
      </c>
      <c r="J222" s="174" t="s">
        <v>7</v>
      </c>
      <c r="K222" s="174" t="s">
        <v>334</v>
      </c>
      <c r="L222" s="174">
        <v>20061132</v>
      </c>
      <c r="M222" s="185" t="s">
        <v>73</v>
      </c>
      <c r="N222" s="174" t="s">
        <v>881</v>
      </c>
      <c r="O222" s="174" t="s">
        <v>467</v>
      </c>
      <c r="P222" s="174" t="s">
        <v>468</v>
      </c>
      <c r="Q222" s="174" t="s">
        <v>412</v>
      </c>
      <c r="R222" s="174" t="s">
        <v>1196</v>
      </c>
      <c r="S222" s="174" t="s">
        <v>881</v>
      </c>
      <c r="T222" s="174">
        <v>3</v>
      </c>
      <c r="U222" s="184"/>
    </row>
    <row r="223" spans="1:21" ht="20.100000000000001" customHeight="1" x14ac:dyDescent="0.2">
      <c r="A223" s="74">
        <v>99160</v>
      </c>
      <c r="B223" s="179" t="s">
        <v>881</v>
      </c>
      <c r="C223" s="74">
        <v>30015892</v>
      </c>
      <c r="D223" s="74" t="s">
        <v>881</v>
      </c>
      <c r="E223" s="174" t="s">
        <v>881</v>
      </c>
      <c r="F223" s="174" t="s">
        <v>335</v>
      </c>
      <c r="G223" s="174" t="s">
        <v>1041</v>
      </c>
      <c r="H223" s="174" t="s">
        <v>330</v>
      </c>
      <c r="I223" s="174" t="s">
        <v>1461</v>
      </c>
      <c r="J223" s="174" t="s">
        <v>7</v>
      </c>
      <c r="K223" s="174" t="s">
        <v>1073</v>
      </c>
      <c r="L223" s="174">
        <v>20054773</v>
      </c>
      <c r="M223" s="174" t="s">
        <v>41</v>
      </c>
      <c r="N223" s="174" t="s">
        <v>881</v>
      </c>
      <c r="O223" s="174" t="s">
        <v>469</v>
      </c>
      <c r="P223" s="174" t="s">
        <v>470</v>
      </c>
      <c r="Q223" s="174" t="s">
        <v>412</v>
      </c>
      <c r="R223" s="174" t="s">
        <v>1196</v>
      </c>
      <c r="S223" s="174" t="s">
        <v>881</v>
      </c>
      <c r="T223" s="174">
        <v>3</v>
      </c>
      <c r="U223" s="184"/>
    </row>
    <row r="224" spans="1:21" ht="20.100000000000001" customHeight="1" x14ac:dyDescent="0.2">
      <c r="A224" s="74">
        <v>99165</v>
      </c>
      <c r="B224" s="179" t="s">
        <v>881</v>
      </c>
      <c r="C224" s="74">
        <v>30016289</v>
      </c>
      <c r="D224" s="74" t="s">
        <v>881</v>
      </c>
      <c r="E224" s="174" t="s">
        <v>881</v>
      </c>
      <c r="F224" s="174" t="s">
        <v>335</v>
      </c>
      <c r="G224" s="174" t="s">
        <v>1041</v>
      </c>
      <c r="H224" s="174" t="s">
        <v>330</v>
      </c>
      <c r="I224" s="174" t="s">
        <v>1461</v>
      </c>
      <c r="J224" s="174" t="s">
        <v>7</v>
      </c>
      <c r="K224" s="174" t="s">
        <v>1073</v>
      </c>
      <c r="L224" s="174">
        <v>20054997</v>
      </c>
      <c r="M224" s="174" t="s">
        <v>41</v>
      </c>
      <c r="N224" s="174" t="s">
        <v>881</v>
      </c>
      <c r="O224" s="174" t="s">
        <v>469</v>
      </c>
      <c r="P224" s="174" t="s">
        <v>470</v>
      </c>
      <c r="Q224" s="174" t="s">
        <v>412</v>
      </c>
      <c r="R224" s="174" t="s">
        <v>1196</v>
      </c>
      <c r="S224" s="174" t="s">
        <v>881</v>
      </c>
      <c r="T224" s="174">
        <v>3</v>
      </c>
      <c r="U224" s="184"/>
    </row>
    <row r="225" spans="1:21" ht="20.100000000000001" customHeight="1" x14ac:dyDescent="0.2">
      <c r="A225" s="74">
        <v>99170</v>
      </c>
      <c r="B225" s="179" t="s">
        <v>881</v>
      </c>
      <c r="C225" s="74">
        <v>30015857</v>
      </c>
      <c r="D225" s="74" t="s">
        <v>881</v>
      </c>
      <c r="E225" s="174" t="s">
        <v>872</v>
      </c>
      <c r="F225" s="174" t="s">
        <v>335</v>
      </c>
      <c r="G225" s="174" t="s">
        <v>1041</v>
      </c>
      <c r="H225" s="174" t="s">
        <v>332</v>
      </c>
      <c r="I225" s="174" t="s">
        <v>1462</v>
      </c>
      <c r="J225" s="174" t="s">
        <v>11</v>
      </c>
      <c r="K225" s="174" t="s">
        <v>1073</v>
      </c>
      <c r="L225" s="174">
        <v>20054843</v>
      </c>
      <c r="M225" s="174" t="s">
        <v>41</v>
      </c>
      <c r="N225" s="174" t="s">
        <v>881</v>
      </c>
      <c r="O225" s="174" t="s">
        <v>435</v>
      </c>
      <c r="P225" s="174" t="s">
        <v>436</v>
      </c>
      <c r="Q225" s="174" t="s">
        <v>412</v>
      </c>
      <c r="R225" s="174" t="s">
        <v>1196</v>
      </c>
      <c r="S225" s="174" t="s">
        <v>881</v>
      </c>
      <c r="T225" s="174">
        <v>3</v>
      </c>
      <c r="U225" s="184"/>
    </row>
    <row r="226" spans="1:21" ht="20.100000000000001" customHeight="1" x14ac:dyDescent="0.2">
      <c r="A226" s="74">
        <v>99170</v>
      </c>
      <c r="B226" s="179" t="s">
        <v>881</v>
      </c>
      <c r="C226" s="74">
        <v>30015979</v>
      </c>
      <c r="D226" s="74" t="s">
        <v>881</v>
      </c>
      <c r="E226" s="174" t="s">
        <v>617</v>
      </c>
      <c r="F226" s="174" t="s">
        <v>335</v>
      </c>
      <c r="G226" s="174" t="s">
        <v>1041</v>
      </c>
      <c r="H226" s="174" t="s">
        <v>332</v>
      </c>
      <c r="I226" s="174" t="s">
        <v>1462</v>
      </c>
      <c r="J226" s="174" t="s">
        <v>11</v>
      </c>
      <c r="K226" s="174" t="s">
        <v>1073</v>
      </c>
      <c r="L226" s="174">
        <v>20054843</v>
      </c>
      <c r="M226" s="174" t="s">
        <v>41</v>
      </c>
      <c r="N226" s="174" t="s">
        <v>881</v>
      </c>
      <c r="O226" s="174" t="s">
        <v>435</v>
      </c>
      <c r="P226" s="174" t="s">
        <v>436</v>
      </c>
      <c r="Q226" s="174" t="s">
        <v>412</v>
      </c>
      <c r="R226" s="174" t="s">
        <v>1196</v>
      </c>
      <c r="S226" s="174" t="s">
        <v>881</v>
      </c>
      <c r="T226" s="174">
        <v>3</v>
      </c>
      <c r="U226" s="184"/>
    </row>
    <row r="227" spans="1:21" ht="20.100000000000001" customHeight="1" x14ac:dyDescent="0.2">
      <c r="A227" s="74">
        <v>99171</v>
      </c>
      <c r="B227" s="179" t="s">
        <v>881</v>
      </c>
      <c r="C227" s="74">
        <v>30016406</v>
      </c>
      <c r="D227" s="74" t="s">
        <v>881</v>
      </c>
      <c r="E227" s="174" t="s">
        <v>872</v>
      </c>
      <c r="F227" s="174" t="s">
        <v>335</v>
      </c>
      <c r="G227" s="174" t="s">
        <v>1041</v>
      </c>
      <c r="H227" s="174" t="s">
        <v>332</v>
      </c>
      <c r="I227" s="174" t="s">
        <v>1462</v>
      </c>
      <c r="J227" s="174" t="s">
        <v>11</v>
      </c>
      <c r="K227" s="174" t="s">
        <v>1073</v>
      </c>
      <c r="L227" s="174">
        <v>20055942</v>
      </c>
      <c r="M227" s="174" t="s">
        <v>41</v>
      </c>
      <c r="N227" s="174" t="s">
        <v>881</v>
      </c>
      <c r="O227" s="174" t="s">
        <v>435</v>
      </c>
      <c r="P227" s="174" t="s">
        <v>436</v>
      </c>
      <c r="Q227" s="174" t="s">
        <v>412</v>
      </c>
      <c r="R227" s="174" t="s">
        <v>1196</v>
      </c>
      <c r="S227" s="174" t="s">
        <v>881</v>
      </c>
      <c r="T227" s="174">
        <v>3</v>
      </c>
      <c r="U227" s="184"/>
    </row>
    <row r="228" spans="1:21" ht="20.100000000000001" customHeight="1" x14ac:dyDescent="0.2">
      <c r="A228" s="74">
        <v>99171</v>
      </c>
      <c r="B228" s="179" t="s">
        <v>881</v>
      </c>
      <c r="C228" s="74">
        <v>30016407</v>
      </c>
      <c r="D228" s="74" t="s">
        <v>881</v>
      </c>
      <c r="E228" s="174" t="s">
        <v>870</v>
      </c>
      <c r="F228" s="174" t="s">
        <v>335</v>
      </c>
      <c r="G228" s="174" t="s">
        <v>1041</v>
      </c>
      <c r="H228" s="174" t="s">
        <v>332</v>
      </c>
      <c r="I228" s="174" t="s">
        <v>1462</v>
      </c>
      <c r="J228" s="174" t="s">
        <v>11</v>
      </c>
      <c r="K228" s="174" t="s">
        <v>1073</v>
      </c>
      <c r="L228" s="174">
        <v>20055942</v>
      </c>
      <c r="M228" s="174" t="s">
        <v>41</v>
      </c>
      <c r="N228" s="174" t="s">
        <v>881</v>
      </c>
      <c r="O228" s="174" t="s">
        <v>435</v>
      </c>
      <c r="P228" s="174" t="s">
        <v>436</v>
      </c>
      <c r="Q228" s="174" t="s">
        <v>412</v>
      </c>
      <c r="R228" s="174" t="s">
        <v>1196</v>
      </c>
      <c r="S228" s="174" t="s">
        <v>881</v>
      </c>
      <c r="T228" s="174">
        <v>3</v>
      </c>
      <c r="U228" s="184"/>
    </row>
    <row r="229" spans="1:21" s="168" customFormat="1" ht="20.100000000000001" customHeight="1" x14ac:dyDescent="0.2">
      <c r="A229" s="188">
        <v>99186</v>
      </c>
      <c r="B229" s="189" t="s">
        <v>1321</v>
      </c>
      <c r="C229" s="171">
        <v>30020996</v>
      </c>
      <c r="D229" s="171">
        <v>30018668</v>
      </c>
      <c r="E229" s="168" t="s">
        <v>881</v>
      </c>
      <c r="F229" s="168" t="s">
        <v>699</v>
      </c>
      <c r="G229" s="168" t="s">
        <v>1049</v>
      </c>
      <c r="H229" s="168" t="s">
        <v>329</v>
      </c>
      <c r="I229" s="168" t="s">
        <v>348</v>
      </c>
      <c r="J229" s="168" t="s">
        <v>349</v>
      </c>
      <c r="K229" s="168" t="s">
        <v>1072</v>
      </c>
      <c r="L229" s="168">
        <v>20059372</v>
      </c>
      <c r="M229" s="186" t="s">
        <v>73</v>
      </c>
      <c r="N229" s="168" t="s">
        <v>74</v>
      </c>
      <c r="O229" s="139" t="s">
        <v>1114</v>
      </c>
      <c r="P229" s="168" t="s">
        <v>1511</v>
      </c>
      <c r="Q229" s="168" t="s">
        <v>406</v>
      </c>
      <c r="R229" s="168" t="s">
        <v>1196</v>
      </c>
      <c r="S229" s="168" t="s">
        <v>881</v>
      </c>
      <c r="T229" s="168" t="s">
        <v>881</v>
      </c>
      <c r="U229" s="187"/>
    </row>
    <row r="230" spans="1:21" s="168" customFormat="1" ht="21" customHeight="1" x14ac:dyDescent="0.2">
      <c r="A230" s="188">
        <v>99187</v>
      </c>
      <c r="B230" s="189" t="s">
        <v>1321</v>
      </c>
      <c r="C230" s="171">
        <v>30020997</v>
      </c>
      <c r="D230" s="171">
        <v>30018669</v>
      </c>
      <c r="E230" s="168" t="s">
        <v>881</v>
      </c>
      <c r="F230" s="168" t="s">
        <v>699</v>
      </c>
      <c r="G230" s="168" t="s">
        <v>1049</v>
      </c>
      <c r="H230" s="168" t="s">
        <v>329</v>
      </c>
      <c r="I230" s="168" t="s">
        <v>348</v>
      </c>
      <c r="J230" s="168" t="s">
        <v>349</v>
      </c>
      <c r="K230" s="168" t="s">
        <v>1072</v>
      </c>
      <c r="L230" s="168">
        <v>20059372</v>
      </c>
      <c r="M230" s="168" t="s">
        <v>73</v>
      </c>
      <c r="N230" s="168" t="s">
        <v>74</v>
      </c>
      <c r="O230" s="139" t="s">
        <v>1114</v>
      </c>
      <c r="P230" s="168" t="s">
        <v>1511</v>
      </c>
      <c r="Q230" s="168" t="s">
        <v>406</v>
      </c>
      <c r="R230" s="168" t="s">
        <v>1196</v>
      </c>
      <c r="S230" s="168" t="s">
        <v>881</v>
      </c>
      <c r="T230" s="168" t="s">
        <v>881</v>
      </c>
      <c r="U230" s="187"/>
    </row>
    <row r="231" spans="1:21" s="168" customFormat="1" ht="20.100000000000001" customHeight="1" x14ac:dyDescent="0.2">
      <c r="A231" s="197">
        <v>99188</v>
      </c>
      <c r="B231" s="198" t="s">
        <v>72</v>
      </c>
      <c r="C231" s="199">
        <v>30021006</v>
      </c>
      <c r="D231" s="199">
        <v>30018690</v>
      </c>
      <c r="E231" s="139" t="s">
        <v>881</v>
      </c>
      <c r="F231" s="139" t="s">
        <v>21</v>
      </c>
      <c r="G231" s="139" t="s">
        <v>1065</v>
      </c>
      <c r="H231" s="139" t="s">
        <v>332</v>
      </c>
      <c r="I231" s="139" t="s">
        <v>1440</v>
      </c>
      <c r="J231" s="139" t="s">
        <v>16</v>
      </c>
      <c r="K231" s="139" t="s">
        <v>1072</v>
      </c>
      <c r="L231" s="139" t="s">
        <v>82</v>
      </c>
      <c r="M231" s="139" t="s">
        <v>41</v>
      </c>
      <c r="N231" s="139" t="s">
        <v>1323</v>
      </c>
      <c r="O231" s="139" t="s">
        <v>373</v>
      </c>
      <c r="P231" s="139" t="s">
        <v>374</v>
      </c>
      <c r="Q231" s="139" t="s">
        <v>412</v>
      </c>
      <c r="R231" s="139" t="s">
        <v>509</v>
      </c>
      <c r="S231" s="139" t="s">
        <v>881</v>
      </c>
      <c r="T231" s="139" t="s">
        <v>881</v>
      </c>
      <c r="U231" s="200"/>
    </row>
    <row r="232" spans="1:21" s="168" customFormat="1" ht="20.100000000000001" customHeight="1" x14ac:dyDescent="0.2">
      <c r="A232" s="188">
        <v>99191</v>
      </c>
      <c r="B232" s="189" t="s">
        <v>1322</v>
      </c>
      <c r="C232" s="171">
        <v>30021041</v>
      </c>
      <c r="D232" s="171">
        <v>30018691</v>
      </c>
      <c r="E232" s="168" t="s">
        <v>881</v>
      </c>
      <c r="F232" s="168" t="s">
        <v>10</v>
      </c>
      <c r="G232" s="168" t="s">
        <v>1064</v>
      </c>
      <c r="H232" s="168" t="s">
        <v>330</v>
      </c>
      <c r="I232" s="168" t="s">
        <v>1491</v>
      </c>
      <c r="J232" s="168" t="s">
        <v>84</v>
      </c>
      <c r="K232" s="168" t="s">
        <v>1072</v>
      </c>
      <c r="L232" s="168">
        <v>20058996</v>
      </c>
      <c r="M232" s="168" t="s">
        <v>41</v>
      </c>
      <c r="N232" s="168" t="s">
        <v>682</v>
      </c>
      <c r="O232" s="168" t="s">
        <v>1130</v>
      </c>
      <c r="P232" s="168" t="s">
        <v>1210</v>
      </c>
      <c r="Q232" s="168" t="s">
        <v>396</v>
      </c>
      <c r="R232" s="168" t="s">
        <v>1196</v>
      </c>
      <c r="S232" s="168" t="s">
        <v>881</v>
      </c>
      <c r="T232" s="168" t="s">
        <v>881</v>
      </c>
      <c r="U232" s="187"/>
    </row>
    <row r="233" spans="1:21" s="168" customFormat="1" ht="20.100000000000001" customHeight="1" x14ac:dyDescent="0.2">
      <c r="A233" s="188">
        <v>99193</v>
      </c>
      <c r="B233" s="189" t="s">
        <v>1324</v>
      </c>
      <c r="C233" s="171">
        <v>30021032</v>
      </c>
      <c r="D233" s="171">
        <v>30018692</v>
      </c>
      <c r="E233" s="168" t="s">
        <v>881</v>
      </c>
      <c r="F233" s="168" t="s">
        <v>10</v>
      </c>
      <c r="G233" s="168" t="s">
        <v>1064</v>
      </c>
      <c r="H233" s="168" t="s">
        <v>332</v>
      </c>
      <c r="I233" s="168" t="s">
        <v>1492</v>
      </c>
      <c r="J233" s="168" t="s">
        <v>88</v>
      </c>
      <c r="K233" s="168" t="s">
        <v>1072</v>
      </c>
      <c r="L233" s="168">
        <v>20059327</v>
      </c>
      <c r="M233" s="186" t="s">
        <v>41</v>
      </c>
      <c r="N233" s="168" t="s">
        <v>87</v>
      </c>
      <c r="O233" s="168" t="s">
        <v>1206</v>
      </c>
      <c r="P233" s="168" t="s">
        <v>1207</v>
      </c>
      <c r="Q233" s="168" t="s">
        <v>396</v>
      </c>
      <c r="R233" s="168" t="s">
        <v>1196</v>
      </c>
      <c r="S233" s="168" t="s">
        <v>881</v>
      </c>
      <c r="T233" s="168" t="s">
        <v>881</v>
      </c>
      <c r="U233" s="187"/>
    </row>
    <row r="234" spans="1:21" s="168" customFormat="1" ht="20.100000000000001" customHeight="1" x14ac:dyDescent="0.2">
      <c r="A234" s="188">
        <v>99194</v>
      </c>
      <c r="B234" s="189" t="s">
        <v>1325</v>
      </c>
      <c r="C234" s="171">
        <v>30021038</v>
      </c>
      <c r="D234" s="171">
        <v>30018693</v>
      </c>
      <c r="E234" s="168" t="s">
        <v>881</v>
      </c>
      <c r="F234" s="168" t="s">
        <v>10</v>
      </c>
      <c r="G234" s="168" t="s">
        <v>1044</v>
      </c>
      <c r="H234" s="168" t="s">
        <v>332</v>
      </c>
      <c r="I234" s="168" t="s">
        <v>1458</v>
      </c>
      <c r="J234" s="168" t="s">
        <v>90</v>
      </c>
      <c r="K234" s="168" t="s">
        <v>1072</v>
      </c>
      <c r="L234" s="168">
        <v>20059328</v>
      </c>
      <c r="M234" s="186" t="s">
        <v>89</v>
      </c>
      <c r="N234" s="168" t="s">
        <v>87</v>
      </c>
      <c r="O234" s="168" t="s">
        <v>1209</v>
      </c>
      <c r="P234" s="168" t="s">
        <v>1213</v>
      </c>
      <c r="Q234" s="168" t="s">
        <v>396</v>
      </c>
      <c r="R234" s="168" t="s">
        <v>1196</v>
      </c>
      <c r="S234" s="168" t="s">
        <v>881</v>
      </c>
      <c r="T234" s="168" t="s">
        <v>881</v>
      </c>
      <c r="U234" s="187"/>
    </row>
    <row r="235" spans="1:21" s="168" customFormat="1" ht="20.100000000000001" customHeight="1" x14ac:dyDescent="0.2">
      <c r="A235" s="188">
        <v>99197</v>
      </c>
      <c r="B235" s="189" t="s">
        <v>1326</v>
      </c>
      <c r="C235" s="171">
        <v>30021007</v>
      </c>
      <c r="D235" s="171">
        <v>30018694</v>
      </c>
      <c r="E235" s="168" t="s">
        <v>881</v>
      </c>
      <c r="F235" s="168" t="s">
        <v>10</v>
      </c>
      <c r="G235" s="168" t="s">
        <v>1064</v>
      </c>
      <c r="H235" s="168" t="s">
        <v>332</v>
      </c>
      <c r="I235" s="168" t="s">
        <v>957</v>
      </c>
      <c r="J235" s="168" t="s">
        <v>80</v>
      </c>
      <c r="K235" s="168" t="s">
        <v>1072</v>
      </c>
      <c r="L235" s="168">
        <v>20059359</v>
      </c>
      <c r="M235" s="168" t="s">
        <v>41</v>
      </c>
      <c r="N235" s="168" t="s">
        <v>677</v>
      </c>
      <c r="O235" s="168" t="s">
        <v>1130</v>
      </c>
      <c r="P235" s="168" t="s">
        <v>1210</v>
      </c>
      <c r="Q235" s="168" t="s">
        <v>396</v>
      </c>
      <c r="R235" s="168" t="s">
        <v>1196</v>
      </c>
      <c r="S235" s="168" t="s">
        <v>881</v>
      </c>
      <c r="T235" s="168" t="s">
        <v>881</v>
      </c>
      <c r="U235" s="187"/>
    </row>
    <row r="236" spans="1:21" s="168" customFormat="1" ht="20.100000000000001" customHeight="1" x14ac:dyDescent="0.2">
      <c r="A236" s="188">
        <v>99198</v>
      </c>
      <c r="B236" s="189" t="s">
        <v>1327</v>
      </c>
      <c r="C236" s="171">
        <v>30021054</v>
      </c>
      <c r="D236" s="171">
        <v>30018695</v>
      </c>
      <c r="E236" s="168" t="s">
        <v>881</v>
      </c>
      <c r="F236" s="168" t="s">
        <v>10</v>
      </c>
      <c r="G236" s="168" t="s">
        <v>1064</v>
      </c>
      <c r="H236" s="168" t="s">
        <v>336</v>
      </c>
      <c r="I236" s="168" t="s">
        <v>1489</v>
      </c>
      <c r="J236" s="168" t="s">
        <v>101</v>
      </c>
      <c r="K236" s="168" t="s">
        <v>334</v>
      </c>
      <c r="L236" s="168">
        <v>20060255</v>
      </c>
      <c r="M236" s="168" t="s">
        <v>73</v>
      </c>
      <c r="N236" s="168" t="s">
        <v>136</v>
      </c>
      <c r="O236" s="168" t="s">
        <v>1130</v>
      </c>
      <c r="P236" s="168" t="s">
        <v>1210</v>
      </c>
      <c r="Q236" s="168" t="s">
        <v>396</v>
      </c>
      <c r="R236" s="168" t="s">
        <v>1196</v>
      </c>
      <c r="S236" s="168" t="s">
        <v>881</v>
      </c>
      <c r="T236" s="168" t="s">
        <v>881</v>
      </c>
      <c r="U236" s="187"/>
    </row>
    <row r="237" spans="1:21" ht="20.100000000000001" customHeight="1" x14ac:dyDescent="0.2">
      <c r="A237" s="74">
        <v>99220</v>
      </c>
      <c r="B237" s="179" t="s">
        <v>881</v>
      </c>
      <c r="C237" s="74">
        <v>30015998</v>
      </c>
      <c r="D237" s="74" t="s">
        <v>881</v>
      </c>
      <c r="E237" s="174" t="s">
        <v>617</v>
      </c>
      <c r="F237" s="174" t="s">
        <v>335</v>
      </c>
      <c r="G237" s="174" t="s">
        <v>1041</v>
      </c>
      <c r="H237" s="174" t="s">
        <v>330</v>
      </c>
      <c r="I237" s="174" t="s">
        <v>1462</v>
      </c>
      <c r="J237" s="174" t="s">
        <v>11</v>
      </c>
      <c r="K237" s="174" t="s">
        <v>1073</v>
      </c>
      <c r="L237" s="174">
        <v>20054462</v>
      </c>
      <c r="M237" s="174" t="s">
        <v>41</v>
      </c>
      <c r="N237" s="174" t="s">
        <v>881</v>
      </c>
      <c r="O237" s="174" t="s">
        <v>437</v>
      </c>
      <c r="P237" s="174" t="s">
        <v>438</v>
      </c>
      <c r="Q237" s="174" t="s">
        <v>432</v>
      </c>
      <c r="R237" s="174" t="s">
        <v>1196</v>
      </c>
      <c r="S237" s="174" t="s">
        <v>881</v>
      </c>
      <c r="T237" s="174">
        <v>3</v>
      </c>
      <c r="U237" s="184"/>
    </row>
    <row r="238" spans="1:21" ht="20.100000000000001" customHeight="1" x14ac:dyDescent="0.2">
      <c r="A238" s="74">
        <v>99222</v>
      </c>
      <c r="B238" s="179" t="s">
        <v>881</v>
      </c>
      <c r="C238" s="74">
        <v>30017176</v>
      </c>
      <c r="D238" s="74" t="s">
        <v>881</v>
      </c>
      <c r="E238" s="174" t="s">
        <v>881</v>
      </c>
      <c r="F238" s="174" t="s">
        <v>335</v>
      </c>
      <c r="G238" s="174" t="s">
        <v>1047</v>
      </c>
      <c r="H238" s="174" t="s">
        <v>332</v>
      </c>
      <c r="I238" s="174" t="s">
        <v>1462</v>
      </c>
      <c r="J238" s="174" t="s">
        <v>11</v>
      </c>
      <c r="K238" s="174" t="s">
        <v>1073</v>
      </c>
      <c r="L238" s="174">
        <v>20056997</v>
      </c>
      <c r="M238" s="174" t="s">
        <v>41</v>
      </c>
      <c r="N238" s="174" t="s">
        <v>881</v>
      </c>
      <c r="O238" s="174" t="s">
        <v>430</v>
      </c>
      <c r="P238" s="174" t="s">
        <v>431</v>
      </c>
      <c r="Q238" s="174" t="s">
        <v>432</v>
      </c>
      <c r="R238" s="174" t="s">
        <v>1196</v>
      </c>
      <c r="S238" s="174" t="s">
        <v>881</v>
      </c>
      <c r="T238" s="174">
        <v>3</v>
      </c>
      <c r="U238" s="184"/>
    </row>
    <row r="239" spans="1:21" ht="20.100000000000001" customHeight="1" x14ac:dyDescent="0.2">
      <c r="A239" s="74">
        <v>99230</v>
      </c>
      <c r="B239" s="179" t="s">
        <v>881</v>
      </c>
      <c r="C239" s="74">
        <v>30016718</v>
      </c>
      <c r="D239" s="74" t="s">
        <v>881</v>
      </c>
      <c r="E239" s="174" t="s">
        <v>881</v>
      </c>
      <c r="F239" s="174" t="s">
        <v>335</v>
      </c>
      <c r="G239" s="174" t="s">
        <v>1041</v>
      </c>
      <c r="H239" s="174" t="s">
        <v>332</v>
      </c>
      <c r="I239" s="174" t="s">
        <v>1442</v>
      </c>
      <c r="J239" s="174" t="s">
        <v>7</v>
      </c>
      <c r="K239" s="174" t="s">
        <v>1073</v>
      </c>
      <c r="L239" s="174">
        <v>20056135</v>
      </c>
      <c r="M239" s="174" t="s">
        <v>41</v>
      </c>
      <c r="N239" s="174" t="s">
        <v>881</v>
      </c>
      <c r="O239" s="174" t="s">
        <v>433</v>
      </c>
      <c r="P239" s="174" t="s">
        <v>434</v>
      </c>
      <c r="Q239" s="174" t="s">
        <v>412</v>
      </c>
      <c r="R239" s="174" t="s">
        <v>1196</v>
      </c>
      <c r="S239" s="174" t="s">
        <v>881</v>
      </c>
      <c r="T239" s="174">
        <v>3</v>
      </c>
      <c r="U239" s="184"/>
    </row>
    <row r="240" spans="1:21" ht="20.100000000000001" customHeight="1" x14ac:dyDescent="0.2">
      <c r="A240" s="74">
        <v>99235</v>
      </c>
      <c r="B240" s="179" t="s">
        <v>881</v>
      </c>
      <c r="C240" s="74">
        <v>30016719</v>
      </c>
      <c r="D240" s="74" t="s">
        <v>881</v>
      </c>
      <c r="E240" s="174" t="s">
        <v>881</v>
      </c>
      <c r="F240" s="174" t="s">
        <v>335</v>
      </c>
      <c r="G240" s="174" t="s">
        <v>1047</v>
      </c>
      <c r="H240" s="174" t="s">
        <v>332</v>
      </c>
      <c r="I240" s="174" t="s">
        <v>1442</v>
      </c>
      <c r="J240" s="174" t="s">
        <v>7</v>
      </c>
      <c r="K240" s="174" t="s">
        <v>1073</v>
      </c>
      <c r="L240" s="174">
        <v>20056136</v>
      </c>
      <c r="M240" s="174" t="s">
        <v>41</v>
      </c>
      <c r="N240" s="174" t="s">
        <v>881</v>
      </c>
      <c r="O240" s="174" t="s">
        <v>433</v>
      </c>
      <c r="P240" s="174" t="s">
        <v>434</v>
      </c>
      <c r="Q240" s="174" t="s">
        <v>412</v>
      </c>
      <c r="R240" s="174" t="s">
        <v>1196</v>
      </c>
      <c r="S240" s="174" t="s">
        <v>881</v>
      </c>
      <c r="T240" s="174">
        <v>3</v>
      </c>
      <c r="U240" s="184"/>
    </row>
    <row r="241" spans="1:21" ht="20.100000000000001" customHeight="1" x14ac:dyDescent="0.2">
      <c r="A241" s="74">
        <v>99236</v>
      </c>
      <c r="B241" s="179" t="s">
        <v>881</v>
      </c>
      <c r="C241" s="74">
        <v>30018246</v>
      </c>
      <c r="D241" s="74" t="s">
        <v>881</v>
      </c>
      <c r="E241" s="174" t="s">
        <v>881</v>
      </c>
      <c r="F241" s="174" t="s">
        <v>335</v>
      </c>
      <c r="G241" s="174" t="s">
        <v>1047</v>
      </c>
      <c r="H241" s="174" t="s">
        <v>332</v>
      </c>
      <c r="I241" s="174" t="s">
        <v>1462</v>
      </c>
      <c r="J241" s="174" t="s">
        <v>11</v>
      </c>
      <c r="K241" s="174" t="s">
        <v>1073</v>
      </c>
      <c r="L241" s="174">
        <v>20054376</v>
      </c>
      <c r="M241" s="174" t="s">
        <v>41</v>
      </c>
      <c r="N241" s="174" t="s">
        <v>881</v>
      </c>
      <c r="O241" s="174" t="s">
        <v>433</v>
      </c>
      <c r="P241" s="174" t="s">
        <v>434</v>
      </c>
      <c r="Q241" s="174" t="s">
        <v>412</v>
      </c>
      <c r="R241" s="174" t="s">
        <v>1196</v>
      </c>
      <c r="S241" s="174" t="s">
        <v>881</v>
      </c>
      <c r="T241" s="174">
        <v>3</v>
      </c>
      <c r="U241" s="184"/>
    </row>
    <row r="242" spans="1:21" ht="20.100000000000001" customHeight="1" x14ac:dyDescent="0.2">
      <c r="A242" s="74">
        <v>99240</v>
      </c>
      <c r="B242" s="179" t="s">
        <v>881</v>
      </c>
      <c r="C242" s="74">
        <v>30016805</v>
      </c>
      <c r="D242" s="74" t="s">
        <v>881</v>
      </c>
      <c r="E242" s="174" t="s">
        <v>881</v>
      </c>
      <c r="F242" s="174" t="s">
        <v>20</v>
      </c>
      <c r="G242" s="174" t="s">
        <v>1047</v>
      </c>
      <c r="H242" s="174" t="s">
        <v>329</v>
      </c>
      <c r="I242" s="174" t="s">
        <v>12</v>
      </c>
      <c r="J242" s="174" t="s">
        <v>13</v>
      </c>
      <c r="K242" s="174" t="s">
        <v>1073</v>
      </c>
      <c r="L242" s="174">
        <v>20056278</v>
      </c>
      <c r="M242" s="174" t="s">
        <v>41</v>
      </c>
      <c r="N242" s="174" t="s">
        <v>46</v>
      </c>
      <c r="O242" s="174" t="s">
        <v>378</v>
      </c>
      <c r="P242" s="174" t="s">
        <v>370</v>
      </c>
      <c r="Q242" s="174" t="s">
        <v>412</v>
      </c>
      <c r="R242" s="174" t="s">
        <v>1196</v>
      </c>
      <c r="S242" s="174" t="s">
        <v>881</v>
      </c>
      <c r="T242" s="174">
        <v>3</v>
      </c>
      <c r="U242" s="184"/>
    </row>
    <row r="243" spans="1:21" ht="20.100000000000001" customHeight="1" x14ac:dyDescent="0.2">
      <c r="A243" s="74">
        <v>99260</v>
      </c>
      <c r="B243" s="179" t="s">
        <v>881</v>
      </c>
      <c r="C243" s="74">
        <v>30016806</v>
      </c>
      <c r="D243" s="74" t="s">
        <v>881</v>
      </c>
      <c r="E243" s="174" t="s">
        <v>881</v>
      </c>
      <c r="F243" s="174" t="s">
        <v>335</v>
      </c>
      <c r="G243" s="174" t="s">
        <v>1047</v>
      </c>
      <c r="H243" s="174" t="s">
        <v>332</v>
      </c>
      <c r="I243" s="174" t="s">
        <v>1442</v>
      </c>
      <c r="J243" s="174" t="s">
        <v>7</v>
      </c>
      <c r="K243" s="174" t="s">
        <v>1073</v>
      </c>
      <c r="L243" s="174">
        <v>20056290</v>
      </c>
      <c r="M243" s="174" t="s">
        <v>41</v>
      </c>
      <c r="N243" s="174" t="s">
        <v>881</v>
      </c>
      <c r="O243" s="174" t="s">
        <v>473</v>
      </c>
      <c r="P243" s="174" t="s">
        <v>470</v>
      </c>
      <c r="Q243" s="174" t="s">
        <v>412</v>
      </c>
      <c r="R243" s="174" t="s">
        <v>1196</v>
      </c>
      <c r="S243" s="174" t="s">
        <v>881</v>
      </c>
      <c r="T243" s="174">
        <v>3</v>
      </c>
      <c r="U243" s="184"/>
    </row>
    <row r="244" spans="1:21" ht="20.100000000000001" customHeight="1" x14ac:dyDescent="0.2">
      <c r="A244" s="74">
        <v>99270</v>
      </c>
      <c r="B244" s="179" t="s">
        <v>881</v>
      </c>
      <c r="C244" s="74">
        <v>30016901</v>
      </c>
      <c r="D244" s="74" t="s">
        <v>881</v>
      </c>
      <c r="E244" s="174" t="s">
        <v>881</v>
      </c>
      <c r="F244" s="174" t="s">
        <v>20</v>
      </c>
      <c r="G244" s="174" t="s">
        <v>1064</v>
      </c>
      <c r="H244" s="174" t="s">
        <v>332</v>
      </c>
      <c r="I244" s="174" t="s">
        <v>1464</v>
      </c>
      <c r="J244" s="174" t="s">
        <v>14</v>
      </c>
      <c r="K244" s="174" t="s">
        <v>1072</v>
      </c>
      <c r="L244" s="174">
        <v>20056490</v>
      </c>
      <c r="M244" s="174" t="s">
        <v>41</v>
      </c>
      <c r="N244" s="174" t="s">
        <v>881</v>
      </c>
      <c r="O244" s="174" t="s">
        <v>439</v>
      </c>
      <c r="P244" s="174" t="s">
        <v>440</v>
      </c>
      <c r="Q244" s="174" t="s">
        <v>207</v>
      </c>
      <c r="R244" s="174" t="s">
        <v>1196</v>
      </c>
      <c r="S244" s="174" t="s">
        <v>881</v>
      </c>
      <c r="T244" s="174">
        <v>4</v>
      </c>
      <c r="U244" s="184"/>
    </row>
    <row r="245" spans="1:21" ht="20.100000000000001" customHeight="1" x14ac:dyDescent="0.2">
      <c r="A245" s="74">
        <v>99280</v>
      </c>
      <c r="B245" s="179" t="s">
        <v>881</v>
      </c>
      <c r="C245" s="74">
        <v>30017359</v>
      </c>
      <c r="D245" s="74" t="s">
        <v>881</v>
      </c>
      <c r="E245" s="174" t="s">
        <v>881</v>
      </c>
      <c r="F245" s="174" t="s">
        <v>335</v>
      </c>
      <c r="G245" s="174" t="s">
        <v>1063</v>
      </c>
      <c r="H245" s="174" t="s">
        <v>336</v>
      </c>
      <c r="I245" s="174" t="s">
        <v>1465</v>
      </c>
      <c r="J245" s="174" t="s">
        <v>52</v>
      </c>
      <c r="K245" s="174" t="s">
        <v>1073</v>
      </c>
      <c r="L245" s="174">
        <v>20057390</v>
      </c>
      <c r="M245" s="174" t="s">
        <v>41</v>
      </c>
      <c r="N245" s="174" t="s">
        <v>881</v>
      </c>
      <c r="O245" s="174" t="s">
        <v>474</v>
      </c>
      <c r="P245" s="174" t="s">
        <v>836</v>
      </c>
      <c r="Q245" s="174" t="s">
        <v>412</v>
      </c>
      <c r="R245" s="174" t="s">
        <v>1196</v>
      </c>
      <c r="S245" s="174" t="s">
        <v>881</v>
      </c>
      <c r="T245" s="174">
        <v>3</v>
      </c>
      <c r="U245" s="184"/>
    </row>
    <row r="246" spans="1:21" ht="20.100000000000001" customHeight="1" x14ac:dyDescent="0.2">
      <c r="A246" s="74">
        <v>99283</v>
      </c>
      <c r="B246" s="179" t="s">
        <v>881</v>
      </c>
      <c r="C246" s="74">
        <v>30017883</v>
      </c>
      <c r="D246" s="74" t="s">
        <v>881</v>
      </c>
      <c r="E246" s="174" t="s">
        <v>881</v>
      </c>
      <c r="F246" s="174" t="s">
        <v>335</v>
      </c>
      <c r="G246" s="174" t="s">
        <v>1060</v>
      </c>
      <c r="H246" s="174" t="s">
        <v>332</v>
      </c>
      <c r="I246" s="174" t="s">
        <v>1490</v>
      </c>
      <c r="J246" s="174" t="s">
        <v>14</v>
      </c>
      <c r="K246" s="174" t="s">
        <v>1073</v>
      </c>
      <c r="L246" s="174">
        <v>40049154</v>
      </c>
      <c r="M246" s="174" t="s">
        <v>44</v>
      </c>
      <c r="N246" s="174" t="s">
        <v>57</v>
      </c>
      <c r="O246" s="174" t="s">
        <v>413</v>
      </c>
      <c r="P246" s="174" t="s">
        <v>414</v>
      </c>
      <c r="Q246" s="174" t="s">
        <v>412</v>
      </c>
      <c r="R246" s="174" t="s">
        <v>1196</v>
      </c>
      <c r="S246" s="174" t="s">
        <v>881</v>
      </c>
      <c r="T246" s="174">
        <v>3</v>
      </c>
      <c r="U246" s="184"/>
    </row>
    <row r="247" spans="1:21" ht="20.100000000000001" customHeight="1" x14ac:dyDescent="0.2">
      <c r="A247" s="74">
        <v>99288</v>
      </c>
      <c r="B247" s="179" t="s">
        <v>881</v>
      </c>
      <c r="C247" s="74">
        <v>30017318</v>
      </c>
      <c r="D247" s="74" t="s">
        <v>881</v>
      </c>
      <c r="E247" s="174" t="s">
        <v>881</v>
      </c>
      <c r="F247" s="174" t="s">
        <v>21</v>
      </c>
      <c r="G247" s="174" t="s">
        <v>1066</v>
      </c>
      <c r="H247" s="174" t="s">
        <v>329</v>
      </c>
      <c r="I247" s="174" t="s">
        <v>1434</v>
      </c>
      <c r="J247" s="174" t="s">
        <v>15</v>
      </c>
      <c r="K247" s="174" t="s">
        <v>1072</v>
      </c>
      <c r="L247" s="174" t="s">
        <v>17</v>
      </c>
      <c r="M247" s="174" t="s">
        <v>43</v>
      </c>
      <c r="N247" s="174" t="s">
        <v>47</v>
      </c>
      <c r="O247" s="174" t="s">
        <v>380</v>
      </c>
      <c r="P247" s="174" t="s">
        <v>377</v>
      </c>
      <c r="Q247" s="174" t="s">
        <v>207</v>
      </c>
      <c r="R247" s="174" t="s">
        <v>1196</v>
      </c>
      <c r="S247" s="174" t="s">
        <v>881</v>
      </c>
      <c r="T247" s="174">
        <v>4</v>
      </c>
      <c r="U247" s="184"/>
    </row>
    <row r="248" spans="1:21" ht="20.100000000000001" customHeight="1" x14ac:dyDescent="0.2">
      <c r="A248" s="74">
        <v>99290</v>
      </c>
      <c r="B248" s="179" t="s">
        <v>881</v>
      </c>
      <c r="C248" s="74">
        <v>30017114</v>
      </c>
      <c r="D248" s="74" t="s">
        <v>881</v>
      </c>
      <c r="E248" s="174" t="s">
        <v>881</v>
      </c>
      <c r="F248" s="174" t="s">
        <v>21</v>
      </c>
      <c r="G248" s="174" t="s">
        <v>1064</v>
      </c>
      <c r="H248" s="174" t="s">
        <v>332</v>
      </c>
      <c r="I248" s="174" t="s">
        <v>1443</v>
      </c>
      <c r="J248" s="174" t="s">
        <v>15</v>
      </c>
      <c r="K248" s="174" t="s">
        <v>1072</v>
      </c>
      <c r="L248" s="174">
        <v>20056952</v>
      </c>
      <c r="M248" s="174" t="s">
        <v>41</v>
      </c>
      <c r="N248" s="174" t="s">
        <v>697</v>
      </c>
      <c r="O248" s="174" t="s">
        <v>441</v>
      </c>
      <c r="P248" s="174" t="s">
        <v>427</v>
      </c>
      <c r="Q248" s="174" t="s">
        <v>412</v>
      </c>
      <c r="R248" s="174" t="s">
        <v>1196</v>
      </c>
      <c r="S248" s="174" t="s">
        <v>881</v>
      </c>
      <c r="T248" s="174">
        <v>3</v>
      </c>
      <c r="U248" s="184"/>
    </row>
    <row r="249" spans="1:21" s="168" customFormat="1" ht="20.100000000000001" customHeight="1" x14ac:dyDescent="0.2">
      <c r="A249" s="188">
        <v>99291</v>
      </c>
      <c r="B249" s="189" t="s">
        <v>1328</v>
      </c>
      <c r="C249" s="171">
        <v>30021096</v>
      </c>
      <c r="D249" s="171">
        <v>30019033</v>
      </c>
      <c r="E249" s="168" t="s">
        <v>881</v>
      </c>
      <c r="F249" s="168" t="s">
        <v>10</v>
      </c>
      <c r="G249" s="168" t="s">
        <v>1063</v>
      </c>
      <c r="H249" s="168" t="s">
        <v>330</v>
      </c>
      <c r="I249" s="168" t="s">
        <v>957</v>
      </c>
      <c r="J249" s="168" t="s">
        <v>80</v>
      </c>
      <c r="K249" s="168" t="s">
        <v>1072</v>
      </c>
      <c r="L249" s="168">
        <v>20059869</v>
      </c>
      <c r="M249" s="168" t="s">
        <v>41</v>
      </c>
      <c r="N249" s="168" t="s">
        <v>116</v>
      </c>
      <c r="O249" s="168" t="s">
        <v>1130</v>
      </c>
      <c r="P249" s="168" t="s">
        <v>1210</v>
      </c>
      <c r="Q249" s="168" t="s">
        <v>396</v>
      </c>
      <c r="R249" s="168" t="s">
        <v>1196</v>
      </c>
      <c r="S249" s="168" t="s">
        <v>881</v>
      </c>
      <c r="T249" s="168" t="s">
        <v>881</v>
      </c>
      <c r="U249" s="187"/>
    </row>
    <row r="250" spans="1:21" ht="20.100000000000001" customHeight="1" x14ac:dyDescent="0.2">
      <c r="A250" s="74">
        <v>99292</v>
      </c>
      <c r="B250" s="179" t="s">
        <v>881</v>
      </c>
      <c r="C250" s="74">
        <v>30017319</v>
      </c>
      <c r="D250" s="74" t="s">
        <v>881</v>
      </c>
      <c r="E250" s="174" t="s">
        <v>881</v>
      </c>
      <c r="F250" s="174" t="s">
        <v>335</v>
      </c>
      <c r="G250" s="174" t="s">
        <v>1047</v>
      </c>
      <c r="H250" s="174" t="s">
        <v>332</v>
      </c>
      <c r="I250" s="174" t="s">
        <v>1434</v>
      </c>
      <c r="J250" s="174" t="s">
        <v>15</v>
      </c>
      <c r="K250" s="174" t="s">
        <v>1072</v>
      </c>
      <c r="L250" s="174">
        <v>40050125</v>
      </c>
      <c r="M250" s="174" t="s">
        <v>41</v>
      </c>
      <c r="N250" s="174" t="s">
        <v>881</v>
      </c>
      <c r="O250" s="174" t="s">
        <v>442</v>
      </c>
      <c r="P250" s="174" t="s">
        <v>427</v>
      </c>
      <c r="Q250" s="174" t="s">
        <v>412</v>
      </c>
      <c r="R250" s="174" t="s">
        <v>1196</v>
      </c>
      <c r="S250" s="174" t="s">
        <v>881</v>
      </c>
      <c r="T250" s="174">
        <v>3</v>
      </c>
      <c r="U250" s="184"/>
    </row>
    <row r="251" spans="1:21" s="168" customFormat="1" ht="20.100000000000001" customHeight="1" x14ac:dyDescent="0.2">
      <c r="A251" s="188">
        <v>99298</v>
      </c>
      <c r="B251" s="189" t="s">
        <v>1329</v>
      </c>
      <c r="C251" s="171">
        <v>30022964</v>
      </c>
      <c r="D251" s="171">
        <v>30019032</v>
      </c>
      <c r="E251" s="168" t="s">
        <v>881</v>
      </c>
      <c r="F251" s="168" t="s">
        <v>10</v>
      </c>
      <c r="G251" s="168" t="s">
        <v>1041</v>
      </c>
      <c r="H251" s="168" t="s">
        <v>332</v>
      </c>
      <c r="I251" s="168" t="s">
        <v>1458</v>
      </c>
      <c r="J251" s="168" t="s">
        <v>90</v>
      </c>
      <c r="K251" s="168" t="s">
        <v>1072</v>
      </c>
      <c r="L251" s="168">
        <v>20059872</v>
      </c>
      <c r="M251" s="168" t="s">
        <v>41</v>
      </c>
      <c r="N251" s="168" t="s">
        <v>112</v>
      </c>
      <c r="O251" s="168" t="s">
        <v>1209</v>
      </c>
      <c r="P251" s="168" t="s">
        <v>1133</v>
      </c>
      <c r="Q251" s="168" t="s">
        <v>396</v>
      </c>
      <c r="R251" s="168" t="s">
        <v>1196</v>
      </c>
      <c r="S251" s="168" t="s">
        <v>881</v>
      </c>
      <c r="T251" s="168" t="s">
        <v>881</v>
      </c>
      <c r="U251" s="187"/>
    </row>
    <row r="252" spans="1:21" ht="20.100000000000001" customHeight="1" x14ac:dyDescent="0.2">
      <c r="A252" s="74">
        <v>99299</v>
      </c>
      <c r="B252" s="179" t="s">
        <v>881</v>
      </c>
      <c r="C252" s="74">
        <v>30017360</v>
      </c>
      <c r="D252" s="74" t="s">
        <v>881</v>
      </c>
      <c r="E252" s="174" t="s">
        <v>881</v>
      </c>
      <c r="F252" s="174" t="s">
        <v>335</v>
      </c>
      <c r="G252" s="174" t="s">
        <v>1068</v>
      </c>
      <c r="H252" s="174" t="s">
        <v>332</v>
      </c>
      <c r="I252" s="174" t="s">
        <v>1466</v>
      </c>
      <c r="J252" s="174" t="s">
        <v>24</v>
      </c>
      <c r="K252" s="174" t="s">
        <v>1073</v>
      </c>
      <c r="L252" s="174" t="s">
        <v>22</v>
      </c>
      <c r="M252" s="174" t="s">
        <v>41</v>
      </c>
      <c r="N252" s="174" t="s">
        <v>881</v>
      </c>
      <c r="O252" s="174" t="s">
        <v>475</v>
      </c>
      <c r="P252" s="174" t="s">
        <v>472</v>
      </c>
      <c r="Q252" s="174" t="s">
        <v>220</v>
      </c>
      <c r="R252" s="174" t="s">
        <v>1196</v>
      </c>
      <c r="S252" s="174" t="s">
        <v>881</v>
      </c>
      <c r="T252" s="174">
        <v>3</v>
      </c>
      <c r="U252" s="184"/>
    </row>
    <row r="253" spans="1:21" s="168" customFormat="1" ht="20.100000000000001" customHeight="1" x14ac:dyDescent="0.2">
      <c r="A253" s="188">
        <v>99306</v>
      </c>
      <c r="B253" s="189" t="s">
        <v>1330</v>
      </c>
      <c r="C253" s="171">
        <v>30021097</v>
      </c>
      <c r="D253" s="171">
        <v>30019034</v>
      </c>
      <c r="E253" s="168" t="s">
        <v>881</v>
      </c>
      <c r="F253" s="168" t="s">
        <v>10</v>
      </c>
      <c r="G253" s="168" t="s">
        <v>1041</v>
      </c>
      <c r="H253" s="168" t="s">
        <v>332</v>
      </c>
      <c r="I253" s="168" t="s">
        <v>1488</v>
      </c>
      <c r="J253" s="168" t="s">
        <v>84</v>
      </c>
      <c r="K253" s="168" t="s">
        <v>1072</v>
      </c>
      <c r="L253" s="168">
        <v>20060121</v>
      </c>
      <c r="M253" s="168" t="s">
        <v>41</v>
      </c>
      <c r="N253" s="168" t="s">
        <v>112</v>
      </c>
      <c r="O253" s="168" t="s">
        <v>1124</v>
      </c>
      <c r="P253" s="168" t="s">
        <v>482</v>
      </c>
      <c r="Q253" s="168" t="s">
        <v>412</v>
      </c>
      <c r="R253" s="168" t="s">
        <v>509</v>
      </c>
      <c r="S253" s="168" t="s">
        <v>881</v>
      </c>
      <c r="T253" s="168" t="s">
        <v>881</v>
      </c>
      <c r="U253" s="187"/>
    </row>
    <row r="254" spans="1:21" s="168" customFormat="1" ht="20.100000000000001" customHeight="1" x14ac:dyDescent="0.2">
      <c r="A254" s="188">
        <v>99307</v>
      </c>
      <c r="B254" s="189" t="s">
        <v>1332</v>
      </c>
      <c r="C254" s="171">
        <v>30021081</v>
      </c>
      <c r="D254" s="171">
        <v>30019035</v>
      </c>
      <c r="E254" s="168" t="s">
        <v>881</v>
      </c>
      <c r="F254" s="168" t="s">
        <v>10</v>
      </c>
      <c r="G254" s="168" t="s">
        <v>1063</v>
      </c>
      <c r="H254" s="168" t="s">
        <v>330</v>
      </c>
      <c r="I254" s="168" t="s">
        <v>957</v>
      </c>
      <c r="J254" s="168" t="s">
        <v>80</v>
      </c>
      <c r="K254" s="168" t="s">
        <v>1072</v>
      </c>
      <c r="L254" s="168">
        <v>20059873</v>
      </c>
      <c r="M254" s="168" t="s">
        <v>41</v>
      </c>
      <c r="N254" s="168" t="s">
        <v>112</v>
      </c>
      <c r="O254" s="168" t="s">
        <v>1129</v>
      </c>
      <c r="P254" s="168" t="s">
        <v>482</v>
      </c>
      <c r="Q254" s="168" t="s">
        <v>412</v>
      </c>
      <c r="R254" s="168" t="s">
        <v>509</v>
      </c>
      <c r="S254" s="168" t="s">
        <v>881</v>
      </c>
      <c r="T254" s="168" t="s">
        <v>881</v>
      </c>
      <c r="U254" s="187"/>
    </row>
    <row r="255" spans="1:21" s="168" customFormat="1" ht="20.100000000000001" customHeight="1" x14ac:dyDescent="0.2">
      <c r="A255" s="188">
        <v>99309</v>
      </c>
      <c r="B255" s="189" t="s">
        <v>1331</v>
      </c>
      <c r="C255" s="171">
        <v>30021090</v>
      </c>
      <c r="D255" s="171">
        <v>30019036</v>
      </c>
      <c r="E255" s="168" t="s">
        <v>881</v>
      </c>
      <c r="F255" s="168" t="s">
        <v>115</v>
      </c>
      <c r="G255" s="168" t="s">
        <v>1063</v>
      </c>
      <c r="H255" s="168" t="s">
        <v>330</v>
      </c>
      <c r="I255" s="168" t="s">
        <v>1463</v>
      </c>
      <c r="J255" s="168" t="s">
        <v>101</v>
      </c>
      <c r="K255" s="168" t="s">
        <v>334</v>
      </c>
      <c r="L255" s="168">
        <v>20059873</v>
      </c>
      <c r="M255" s="168" t="s">
        <v>41</v>
      </c>
      <c r="N255" s="168" t="s">
        <v>116</v>
      </c>
      <c r="O255" s="168" t="s">
        <v>1211</v>
      </c>
      <c r="P255" s="168" t="s">
        <v>482</v>
      </c>
      <c r="Q255" s="168" t="s">
        <v>412</v>
      </c>
      <c r="R255" s="168" t="s">
        <v>509</v>
      </c>
      <c r="S255" s="168" t="s">
        <v>881</v>
      </c>
      <c r="T255" s="168" t="s">
        <v>881</v>
      </c>
      <c r="U255" s="187"/>
    </row>
    <row r="256" spans="1:21" ht="20.100000000000001" customHeight="1" x14ac:dyDescent="0.2">
      <c r="A256" s="74">
        <v>99310</v>
      </c>
      <c r="B256" s="179" t="s">
        <v>881</v>
      </c>
      <c r="C256" s="74">
        <v>30017361</v>
      </c>
      <c r="D256" s="74" t="s">
        <v>881</v>
      </c>
      <c r="E256" s="174" t="s">
        <v>881</v>
      </c>
      <c r="F256" s="174" t="s">
        <v>698</v>
      </c>
      <c r="G256" s="174" t="s">
        <v>1063</v>
      </c>
      <c r="H256" s="174" t="s">
        <v>332</v>
      </c>
      <c r="I256" s="174" t="s">
        <v>1444</v>
      </c>
      <c r="J256" s="174" t="s">
        <v>16</v>
      </c>
      <c r="K256" s="174" t="s">
        <v>1072</v>
      </c>
      <c r="L256" s="174">
        <v>20057494</v>
      </c>
      <c r="M256" s="174" t="s">
        <v>41</v>
      </c>
      <c r="N256" s="174" t="s">
        <v>881</v>
      </c>
      <c r="O256" s="174" t="s">
        <v>476</v>
      </c>
      <c r="P256" s="174" t="s">
        <v>477</v>
      </c>
      <c r="Q256" s="174" t="s">
        <v>412</v>
      </c>
      <c r="R256" s="174" t="s">
        <v>1196</v>
      </c>
      <c r="S256" s="174" t="s">
        <v>881</v>
      </c>
      <c r="T256" s="174">
        <v>3</v>
      </c>
      <c r="U256" s="184"/>
    </row>
    <row r="257" spans="1:21" ht="20.100000000000001" customHeight="1" x14ac:dyDescent="0.2">
      <c r="A257" s="74">
        <v>99311</v>
      </c>
      <c r="B257" s="179" t="s">
        <v>881</v>
      </c>
      <c r="C257" s="74">
        <v>30017723</v>
      </c>
      <c r="D257" s="74" t="s">
        <v>881</v>
      </c>
      <c r="E257" s="174" t="s">
        <v>881</v>
      </c>
      <c r="F257" s="174" t="s">
        <v>335</v>
      </c>
      <c r="G257" s="174" t="s">
        <v>1063</v>
      </c>
      <c r="H257" s="174" t="s">
        <v>332</v>
      </c>
      <c r="I257" s="174" t="s">
        <v>1444</v>
      </c>
      <c r="J257" s="174" t="s">
        <v>16</v>
      </c>
      <c r="K257" s="174" t="s">
        <v>1072</v>
      </c>
      <c r="L257" s="174">
        <v>40051058</v>
      </c>
      <c r="M257" s="174" t="s">
        <v>41</v>
      </c>
      <c r="N257" s="174" t="s">
        <v>881</v>
      </c>
      <c r="O257" s="174" t="s">
        <v>478</v>
      </c>
      <c r="P257" s="174" t="s">
        <v>477</v>
      </c>
      <c r="Q257" s="174" t="s">
        <v>412</v>
      </c>
      <c r="R257" s="174" t="s">
        <v>1196</v>
      </c>
      <c r="S257" s="174" t="s">
        <v>881</v>
      </c>
      <c r="T257" s="174">
        <v>3</v>
      </c>
      <c r="U257" s="184"/>
    </row>
    <row r="258" spans="1:21" ht="20.100000000000001" customHeight="1" x14ac:dyDescent="0.2">
      <c r="A258" s="74">
        <v>99313</v>
      </c>
      <c r="B258" s="179" t="s">
        <v>881</v>
      </c>
      <c r="C258" s="74">
        <v>30022769</v>
      </c>
      <c r="D258" s="74" t="s">
        <v>881</v>
      </c>
      <c r="E258" s="174" t="s">
        <v>881</v>
      </c>
      <c r="F258" s="174" t="s">
        <v>20</v>
      </c>
      <c r="G258" s="174" t="s">
        <v>1047</v>
      </c>
      <c r="H258" s="174" t="s">
        <v>332</v>
      </c>
      <c r="I258" s="174" t="s">
        <v>1445</v>
      </c>
      <c r="J258" s="174" t="s">
        <v>14</v>
      </c>
      <c r="K258" s="174" t="s">
        <v>1072</v>
      </c>
      <c r="L258" s="174">
        <v>20059860</v>
      </c>
      <c r="M258" s="174" t="s">
        <v>41</v>
      </c>
      <c r="N258" s="174" t="s">
        <v>634</v>
      </c>
      <c r="O258" s="174" t="s">
        <v>444</v>
      </c>
      <c r="P258" s="174" t="s">
        <v>937</v>
      </c>
      <c r="Q258" s="174" t="s">
        <v>412</v>
      </c>
      <c r="R258" s="174" t="s">
        <v>509</v>
      </c>
      <c r="S258" s="174" t="s">
        <v>881</v>
      </c>
      <c r="T258" s="174">
        <v>3</v>
      </c>
      <c r="U258" s="184"/>
    </row>
    <row r="259" spans="1:21" ht="20.100000000000001" customHeight="1" x14ac:dyDescent="0.2">
      <c r="A259" s="74">
        <v>99316</v>
      </c>
      <c r="B259" s="179" t="s">
        <v>881</v>
      </c>
      <c r="C259" s="74">
        <v>30021122</v>
      </c>
      <c r="D259" s="74" t="s">
        <v>881</v>
      </c>
      <c r="E259" s="174" t="s">
        <v>881</v>
      </c>
      <c r="F259" s="174" t="s">
        <v>21</v>
      </c>
      <c r="G259" s="174" t="s">
        <v>1066</v>
      </c>
      <c r="H259" s="174" t="s">
        <v>332</v>
      </c>
      <c r="I259" s="202" t="s">
        <v>940</v>
      </c>
      <c r="J259" s="174" t="s">
        <v>253</v>
      </c>
      <c r="K259" s="174" t="s">
        <v>1072</v>
      </c>
      <c r="L259" s="174" t="s">
        <v>81</v>
      </c>
      <c r="M259" s="174" t="s">
        <v>894</v>
      </c>
      <c r="N259" s="174" t="s">
        <v>48</v>
      </c>
      <c r="O259" s="174" t="s">
        <v>379</v>
      </c>
      <c r="P259" s="174" t="s">
        <v>374</v>
      </c>
      <c r="Q259" s="174" t="s">
        <v>412</v>
      </c>
      <c r="R259" s="174" t="s">
        <v>509</v>
      </c>
      <c r="S259" s="174" t="s">
        <v>881</v>
      </c>
      <c r="T259" s="174">
        <v>1</v>
      </c>
      <c r="U259" s="184"/>
    </row>
    <row r="260" spans="1:21" ht="20.100000000000001" customHeight="1" x14ac:dyDescent="0.2">
      <c r="A260" s="74">
        <v>99317</v>
      </c>
      <c r="B260" s="179" t="s">
        <v>881</v>
      </c>
      <c r="C260" s="74">
        <v>30019081</v>
      </c>
      <c r="D260" s="74" t="s">
        <v>881</v>
      </c>
      <c r="E260" s="174" t="s">
        <v>881</v>
      </c>
      <c r="F260" s="174" t="s">
        <v>21</v>
      </c>
      <c r="G260" s="174" t="s">
        <v>1066</v>
      </c>
      <c r="H260" s="174" t="s">
        <v>332</v>
      </c>
      <c r="I260" s="174" t="s">
        <v>1440</v>
      </c>
      <c r="J260" s="174" t="s">
        <v>16</v>
      </c>
      <c r="K260" s="174" t="s">
        <v>1072</v>
      </c>
      <c r="L260" s="174" t="s">
        <v>33</v>
      </c>
      <c r="M260" s="174" t="s">
        <v>885</v>
      </c>
      <c r="N260" s="174" t="s">
        <v>881</v>
      </c>
      <c r="O260" s="174" t="s">
        <v>445</v>
      </c>
      <c r="P260" s="174" t="s">
        <v>425</v>
      </c>
      <c r="Q260" s="174" t="s">
        <v>412</v>
      </c>
      <c r="R260" s="174" t="s">
        <v>509</v>
      </c>
      <c r="S260" s="174" t="s">
        <v>881</v>
      </c>
      <c r="T260" s="174">
        <v>1</v>
      </c>
      <c r="U260" s="184"/>
    </row>
    <row r="261" spans="1:21" ht="20.100000000000001" customHeight="1" x14ac:dyDescent="0.2">
      <c r="A261" s="74">
        <v>99318</v>
      </c>
      <c r="B261" s="179" t="s">
        <v>881</v>
      </c>
      <c r="C261" s="74">
        <v>30021202</v>
      </c>
      <c r="D261" s="74" t="s">
        <v>881</v>
      </c>
      <c r="E261" s="174" t="s">
        <v>881</v>
      </c>
      <c r="F261" s="174" t="s">
        <v>699</v>
      </c>
      <c r="G261" s="174" t="s">
        <v>1058</v>
      </c>
      <c r="H261" s="174" t="s">
        <v>329</v>
      </c>
      <c r="I261" s="174" t="s">
        <v>348</v>
      </c>
      <c r="J261" s="174" t="s">
        <v>349</v>
      </c>
      <c r="K261" s="174" t="s">
        <v>1072</v>
      </c>
      <c r="L261" s="174">
        <v>20059110</v>
      </c>
      <c r="M261" s="185" t="s">
        <v>73</v>
      </c>
      <c r="N261" s="174" t="s">
        <v>65</v>
      </c>
      <c r="O261" s="174" t="s">
        <v>493</v>
      </c>
      <c r="P261" s="174" t="s">
        <v>1497</v>
      </c>
      <c r="Q261" s="174" t="s">
        <v>508</v>
      </c>
      <c r="R261" s="174" t="s">
        <v>1196</v>
      </c>
      <c r="S261" s="174" t="s">
        <v>881</v>
      </c>
      <c r="T261" s="174" t="s">
        <v>881</v>
      </c>
      <c r="U261" s="184"/>
    </row>
    <row r="262" spans="1:21" ht="20.100000000000001" customHeight="1" x14ac:dyDescent="0.2">
      <c r="A262" s="74">
        <v>99329</v>
      </c>
      <c r="B262" s="179" t="s">
        <v>881</v>
      </c>
      <c r="C262" s="74">
        <v>30022636</v>
      </c>
      <c r="D262" s="74" t="s">
        <v>881</v>
      </c>
      <c r="E262" s="174" t="s">
        <v>881</v>
      </c>
      <c r="F262" s="174" t="s">
        <v>335</v>
      </c>
      <c r="G262" s="174" t="s">
        <v>1047</v>
      </c>
      <c r="H262" s="174" t="s">
        <v>329</v>
      </c>
      <c r="I262" s="174" t="s">
        <v>598</v>
      </c>
      <c r="J262" s="174" t="s">
        <v>16</v>
      </c>
      <c r="K262" s="174" t="s">
        <v>1072</v>
      </c>
      <c r="L262" s="174">
        <v>20060120</v>
      </c>
      <c r="M262" s="174" t="s">
        <v>73</v>
      </c>
      <c r="N262" s="174" t="s">
        <v>532</v>
      </c>
      <c r="O262" s="174" t="s">
        <v>415</v>
      </c>
      <c r="P262" s="174" t="s">
        <v>416</v>
      </c>
      <c r="Q262" s="174" t="s">
        <v>406</v>
      </c>
      <c r="R262" s="174" t="s">
        <v>1196</v>
      </c>
      <c r="S262" s="174" t="s">
        <v>881</v>
      </c>
      <c r="T262" s="174">
        <v>4</v>
      </c>
      <c r="U262" s="184"/>
    </row>
    <row r="263" spans="1:21" ht="20.100000000000001" customHeight="1" x14ac:dyDescent="0.2">
      <c r="A263" s="74">
        <v>99330</v>
      </c>
      <c r="B263" s="179" t="s">
        <v>881</v>
      </c>
      <c r="C263" s="74">
        <v>30017430</v>
      </c>
      <c r="D263" s="74" t="s">
        <v>881</v>
      </c>
      <c r="E263" s="174" t="s">
        <v>881</v>
      </c>
      <c r="F263" s="174" t="s">
        <v>20</v>
      </c>
      <c r="G263" s="174" t="s">
        <v>1047</v>
      </c>
      <c r="H263" s="174" t="s">
        <v>332</v>
      </c>
      <c r="I263" s="174" t="s">
        <v>12</v>
      </c>
      <c r="J263" s="174" t="s">
        <v>13</v>
      </c>
      <c r="K263" s="174" t="s">
        <v>1072</v>
      </c>
      <c r="L263" s="174">
        <v>40050126</v>
      </c>
      <c r="M263" s="174" t="s">
        <v>41</v>
      </c>
      <c r="N263" s="174" t="s">
        <v>45</v>
      </c>
      <c r="O263" s="174" t="s">
        <v>378</v>
      </c>
      <c r="P263" s="174" t="s">
        <v>370</v>
      </c>
      <c r="Q263" s="174" t="s">
        <v>412</v>
      </c>
      <c r="R263" s="174" t="s">
        <v>1196</v>
      </c>
      <c r="S263" s="174" t="s">
        <v>881</v>
      </c>
      <c r="T263" s="174">
        <v>3</v>
      </c>
      <c r="U263" s="184"/>
    </row>
    <row r="264" spans="1:21" ht="20.100000000000001" customHeight="1" x14ac:dyDescent="0.2">
      <c r="A264" s="74">
        <v>99333</v>
      </c>
      <c r="B264" s="179" t="s">
        <v>881</v>
      </c>
      <c r="C264" s="74">
        <v>30017913</v>
      </c>
      <c r="D264" s="74" t="s">
        <v>881</v>
      </c>
      <c r="E264" s="174" t="s">
        <v>881</v>
      </c>
      <c r="F264" s="174" t="s">
        <v>21</v>
      </c>
      <c r="G264" s="174" t="s">
        <v>1066</v>
      </c>
      <c r="H264" s="174" t="s">
        <v>329</v>
      </c>
      <c r="I264" s="174" t="s">
        <v>1435</v>
      </c>
      <c r="J264" s="174" t="s">
        <v>3</v>
      </c>
      <c r="K264" s="174" t="s">
        <v>1072</v>
      </c>
      <c r="L264" s="174" t="s">
        <v>18</v>
      </c>
      <c r="M264" s="174" t="s">
        <v>43</v>
      </c>
      <c r="N264" s="174" t="s">
        <v>47</v>
      </c>
      <c r="O264" s="174" t="s">
        <v>380</v>
      </c>
      <c r="P264" s="174" t="s">
        <v>377</v>
      </c>
      <c r="Q264" s="174" t="s">
        <v>207</v>
      </c>
      <c r="R264" s="174" t="s">
        <v>1196</v>
      </c>
      <c r="S264" s="174" t="s">
        <v>881</v>
      </c>
      <c r="T264" s="174">
        <v>4</v>
      </c>
      <c r="U264" s="184"/>
    </row>
    <row r="265" spans="1:21" s="168" customFormat="1" ht="20.100000000000001" customHeight="1" x14ac:dyDescent="0.2">
      <c r="A265" s="188">
        <v>99336</v>
      </c>
      <c r="B265" s="189" t="s">
        <v>1333</v>
      </c>
      <c r="C265" s="171">
        <v>30022965</v>
      </c>
      <c r="D265" s="171" t="s">
        <v>705</v>
      </c>
      <c r="E265" s="168" t="s">
        <v>881</v>
      </c>
      <c r="F265" s="168" t="s">
        <v>699</v>
      </c>
      <c r="G265" s="168" t="s">
        <v>1058</v>
      </c>
      <c r="H265" s="168" t="s">
        <v>329</v>
      </c>
      <c r="I265" s="168" t="s">
        <v>348</v>
      </c>
      <c r="J265" s="168" t="s">
        <v>349</v>
      </c>
      <c r="K265" s="168" t="s">
        <v>334</v>
      </c>
      <c r="L265" s="168">
        <v>20060526</v>
      </c>
      <c r="M265" s="168" t="s">
        <v>73</v>
      </c>
      <c r="N265" s="168" t="s">
        <v>890</v>
      </c>
      <c r="O265" s="168" t="s">
        <v>1114</v>
      </c>
      <c r="P265" s="168" t="s">
        <v>1511</v>
      </c>
      <c r="Q265" s="168" t="s">
        <v>406</v>
      </c>
      <c r="R265" s="168" t="s">
        <v>1196</v>
      </c>
      <c r="S265" s="168" t="s">
        <v>881</v>
      </c>
      <c r="T265" s="168" t="s">
        <v>881</v>
      </c>
      <c r="U265" s="187"/>
    </row>
    <row r="266" spans="1:21" s="168" customFormat="1" ht="20.100000000000001" customHeight="1" x14ac:dyDescent="0.2">
      <c r="A266" s="188">
        <v>99337</v>
      </c>
      <c r="B266" s="189" t="s">
        <v>1334</v>
      </c>
      <c r="C266" s="171">
        <v>30022966</v>
      </c>
      <c r="D266" s="171">
        <v>30019135</v>
      </c>
      <c r="E266" s="168" t="s">
        <v>881</v>
      </c>
      <c r="F266" s="168" t="s">
        <v>699</v>
      </c>
      <c r="G266" s="168" t="s">
        <v>1058</v>
      </c>
      <c r="H266" s="168" t="s">
        <v>329</v>
      </c>
      <c r="I266" s="168" t="s">
        <v>348</v>
      </c>
      <c r="J266" s="168" t="s">
        <v>349</v>
      </c>
      <c r="K266" s="168" t="s">
        <v>334</v>
      </c>
      <c r="L266" s="168">
        <v>20060526</v>
      </c>
      <c r="M266" s="168" t="s">
        <v>73</v>
      </c>
      <c r="N266" s="168" t="s">
        <v>890</v>
      </c>
      <c r="O266" s="168" t="s">
        <v>1114</v>
      </c>
      <c r="P266" s="168" t="s">
        <v>1511</v>
      </c>
      <c r="Q266" s="168" t="s">
        <v>406</v>
      </c>
      <c r="R266" s="168" t="s">
        <v>1196</v>
      </c>
      <c r="S266" s="168" t="s">
        <v>881</v>
      </c>
      <c r="T266" s="168" t="s">
        <v>881</v>
      </c>
      <c r="U266" s="187"/>
    </row>
    <row r="267" spans="1:21" s="168" customFormat="1" ht="20.100000000000001" customHeight="1" x14ac:dyDescent="0.2">
      <c r="A267" s="188">
        <v>99337</v>
      </c>
      <c r="B267" s="189" t="s">
        <v>1335</v>
      </c>
      <c r="C267" s="171">
        <v>30022966</v>
      </c>
      <c r="D267" s="171">
        <v>30020223</v>
      </c>
      <c r="E267" s="168" t="s">
        <v>881</v>
      </c>
      <c r="F267" s="168" t="s">
        <v>699</v>
      </c>
      <c r="G267" s="168" t="s">
        <v>1058</v>
      </c>
      <c r="H267" s="168" t="s">
        <v>329</v>
      </c>
      <c r="I267" s="168" t="s">
        <v>348</v>
      </c>
      <c r="J267" s="168" t="s">
        <v>349</v>
      </c>
      <c r="K267" s="168" t="s">
        <v>334</v>
      </c>
      <c r="L267" s="168">
        <v>20060526</v>
      </c>
      <c r="M267" s="168" t="s">
        <v>73</v>
      </c>
      <c r="N267" s="168" t="s">
        <v>890</v>
      </c>
      <c r="O267" s="168" t="s">
        <v>1114</v>
      </c>
      <c r="P267" s="168" t="s">
        <v>1511</v>
      </c>
      <c r="Q267" s="168" t="s">
        <v>406</v>
      </c>
      <c r="R267" s="168" t="s">
        <v>1196</v>
      </c>
      <c r="S267" s="168" t="s">
        <v>881</v>
      </c>
      <c r="T267" s="168" t="s">
        <v>881</v>
      </c>
      <c r="U267" s="187"/>
    </row>
    <row r="268" spans="1:21" s="168" customFormat="1" ht="20.100000000000001" customHeight="1" x14ac:dyDescent="0.2">
      <c r="A268" s="188">
        <v>99338</v>
      </c>
      <c r="B268" s="189" t="s">
        <v>1336</v>
      </c>
      <c r="C268" s="171">
        <v>30020998</v>
      </c>
      <c r="D268" s="171">
        <v>30019134</v>
      </c>
      <c r="E268" s="168" t="s">
        <v>881</v>
      </c>
      <c r="F268" s="168" t="s">
        <v>10</v>
      </c>
      <c r="G268" s="168" t="s">
        <v>1065</v>
      </c>
      <c r="H268" s="168" t="s">
        <v>329</v>
      </c>
      <c r="I268" s="205" t="s">
        <v>940</v>
      </c>
      <c r="J268" s="168" t="s">
        <v>253</v>
      </c>
      <c r="K268" s="168" t="s">
        <v>334</v>
      </c>
      <c r="L268" s="168">
        <v>20060527</v>
      </c>
      <c r="M268" s="168" t="s">
        <v>910</v>
      </c>
      <c r="N268" s="168" t="s">
        <v>895</v>
      </c>
      <c r="O268" s="168" t="s">
        <v>1118</v>
      </c>
      <c r="P268" s="168" t="s">
        <v>416</v>
      </c>
      <c r="Q268" s="168" t="s">
        <v>406</v>
      </c>
      <c r="R268" s="168" t="s">
        <v>1196</v>
      </c>
      <c r="S268" s="168" t="s">
        <v>881</v>
      </c>
      <c r="T268" s="168" t="s">
        <v>881</v>
      </c>
      <c r="U268" s="187"/>
    </row>
    <row r="269" spans="1:21" s="168" customFormat="1" ht="20.100000000000001" customHeight="1" x14ac:dyDescent="0.2">
      <c r="A269" s="188">
        <v>99339</v>
      </c>
      <c r="B269" s="189" t="s">
        <v>1324</v>
      </c>
      <c r="C269" s="171">
        <v>30022967</v>
      </c>
      <c r="D269" s="171" t="s">
        <v>1216</v>
      </c>
      <c r="E269" s="168" t="s">
        <v>881</v>
      </c>
      <c r="F269" s="168" t="s">
        <v>10</v>
      </c>
      <c r="G269" s="168" t="s">
        <v>1047</v>
      </c>
      <c r="H269" s="168" t="s">
        <v>332</v>
      </c>
      <c r="I269" s="168" t="s">
        <v>1440</v>
      </c>
      <c r="J269" s="168" t="s">
        <v>16</v>
      </c>
      <c r="K269" s="168" t="s">
        <v>334</v>
      </c>
      <c r="L269" s="168">
        <v>20061144</v>
      </c>
      <c r="M269" s="168" t="s">
        <v>73</v>
      </c>
      <c r="N269" s="168" t="s">
        <v>114</v>
      </c>
      <c r="S269" s="168" t="s">
        <v>881</v>
      </c>
      <c r="T269" s="168" t="s">
        <v>881</v>
      </c>
      <c r="U269" s="187"/>
    </row>
    <row r="270" spans="1:21" s="168" customFormat="1" ht="20.100000000000001" customHeight="1" x14ac:dyDescent="0.2">
      <c r="A270" s="188">
        <v>99341</v>
      </c>
      <c r="B270" s="189" t="s">
        <v>1337</v>
      </c>
      <c r="C270" s="171">
        <v>30021085</v>
      </c>
      <c r="D270" s="171">
        <v>30019150</v>
      </c>
      <c r="E270" s="168" t="s">
        <v>881</v>
      </c>
      <c r="F270" s="168" t="s">
        <v>117</v>
      </c>
      <c r="G270" s="168" t="s">
        <v>1044</v>
      </c>
      <c r="H270" s="168" t="s">
        <v>332</v>
      </c>
      <c r="I270" s="168" t="s">
        <v>1467</v>
      </c>
      <c r="J270" s="168" t="s">
        <v>124</v>
      </c>
      <c r="K270" s="168" t="s">
        <v>334</v>
      </c>
      <c r="L270" s="168">
        <v>20060170</v>
      </c>
      <c r="M270" s="168" t="s">
        <v>73</v>
      </c>
      <c r="N270" s="168" t="s">
        <v>114</v>
      </c>
      <c r="O270" s="168" t="s">
        <v>1209</v>
      </c>
      <c r="P270" s="168" t="s">
        <v>1213</v>
      </c>
      <c r="Q270" s="168" t="s">
        <v>396</v>
      </c>
      <c r="R270" s="168" t="s">
        <v>1196</v>
      </c>
      <c r="S270" s="168" t="s">
        <v>881</v>
      </c>
      <c r="T270" s="168" t="s">
        <v>881</v>
      </c>
      <c r="U270" s="187"/>
    </row>
    <row r="271" spans="1:21" s="168" customFormat="1" ht="20.100000000000001" customHeight="1" x14ac:dyDescent="0.2">
      <c r="A271" s="188">
        <v>99342</v>
      </c>
      <c r="B271" s="189" t="s">
        <v>1338</v>
      </c>
      <c r="C271" s="171">
        <v>30021036</v>
      </c>
      <c r="D271" s="171">
        <v>30019151</v>
      </c>
      <c r="E271" s="168" t="s">
        <v>881</v>
      </c>
      <c r="F271" s="168" t="s">
        <v>10</v>
      </c>
      <c r="G271" s="168" t="s">
        <v>1053</v>
      </c>
      <c r="H271" s="168" t="s">
        <v>330</v>
      </c>
      <c r="I271" s="168" t="s">
        <v>1488</v>
      </c>
      <c r="J271" s="168" t="s">
        <v>84</v>
      </c>
      <c r="K271" s="168" t="s">
        <v>334</v>
      </c>
      <c r="L271" s="168">
        <v>20060470</v>
      </c>
      <c r="M271" s="186" t="s">
        <v>73</v>
      </c>
      <c r="N271" s="168" t="s">
        <v>677</v>
      </c>
      <c r="O271" s="168" t="s">
        <v>1121</v>
      </c>
      <c r="P271" s="168" t="s">
        <v>1210</v>
      </c>
      <c r="Q271" s="168" t="s">
        <v>396</v>
      </c>
      <c r="R271" s="168" t="s">
        <v>1196</v>
      </c>
      <c r="S271" s="168" t="s">
        <v>881</v>
      </c>
      <c r="T271" s="168" t="s">
        <v>881</v>
      </c>
      <c r="U271" s="187"/>
    </row>
    <row r="272" spans="1:21" s="168" customFormat="1" ht="20.100000000000001" customHeight="1" x14ac:dyDescent="0.2">
      <c r="A272" s="188">
        <v>99343</v>
      </c>
      <c r="B272" s="189" t="s">
        <v>1339</v>
      </c>
      <c r="C272" s="171">
        <v>30021078</v>
      </c>
      <c r="D272" s="171">
        <v>30019138</v>
      </c>
      <c r="E272" s="168" t="s">
        <v>881</v>
      </c>
      <c r="F272" s="168" t="s">
        <v>10</v>
      </c>
      <c r="G272" s="168" t="s">
        <v>1063</v>
      </c>
      <c r="H272" s="168" t="s">
        <v>330</v>
      </c>
      <c r="I272" s="168" t="s">
        <v>957</v>
      </c>
      <c r="J272" s="168" t="s">
        <v>80</v>
      </c>
      <c r="K272" s="168" t="s">
        <v>334</v>
      </c>
      <c r="L272" s="168">
        <v>20060826</v>
      </c>
      <c r="M272" s="168" t="s">
        <v>73</v>
      </c>
      <c r="N272" s="168" t="s">
        <v>114</v>
      </c>
      <c r="O272" s="168" t="s">
        <v>1130</v>
      </c>
      <c r="P272" s="168" t="s">
        <v>1210</v>
      </c>
      <c r="Q272" s="168" t="s">
        <v>396</v>
      </c>
      <c r="R272" s="168" t="s">
        <v>1196</v>
      </c>
      <c r="S272" s="168" t="s">
        <v>881</v>
      </c>
      <c r="T272" s="168" t="s">
        <v>881</v>
      </c>
      <c r="U272" s="187"/>
    </row>
    <row r="273" spans="1:21" s="168" customFormat="1" ht="20.100000000000001" customHeight="1" x14ac:dyDescent="0.2">
      <c r="A273" s="188">
        <v>99344</v>
      </c>
      <c r="B273" s="189" t="s">
        <v>1340</v>
      </c>
      <c r="C273" s="171">
        <v>30021084</v>
      </c>
      <c r="D273" s="171">
        <v>30019137</v>
      </c>
      <c r="E273" s="168" t="s">
        <v>881</v>
      </c>
      <c r="F273" s="168" t="s">
        <v>10</v>
      </c>
      <c r="G273" s="168" t="s">
        <v>1063</v>
      </c>
      <c r="H273" s="168" t="s">
        <v>330</v>
      </c>
      <c r="I273" s="168" t="s">
        <v>1463</v>
      </c>
      <c r="J273" s="168" t="s">
        <v>101</v>
      </c>
      <c r="K273" s="168" t="s">
        <v>334</v>
      </c>
      <c r="L273" s="168">
        <v>20060826</v>
      </c>
      <c r="M273" s="168" t="s">
        <v>73</v>
      </c>
      <c r="N273" s="168" t="s">
        <v>114</v>
      </c>
      <c r="O273" s="168" t="s">
        <v>1130</v>
      </c>
      <c r="P273" s="168" t="s">
        <v>1210</v>
      </c>
      <c r="Q273" s="168" t="s">
        <v>396</v>
      </c>
      <c r="R273" s="168" t="s">
        <v>1196</v>
      </c>
      <c r="S273" s="168" t="s">
        <v>881</v>
      </c>
      <c r="T273" s="168" t="s">
        <v>881</v>
      </c>
      <c r="U273" s="187"/>
    </row>
    <row r="274" spans="1:21" ht="20.100000000000001" customHeight="1" x14ac:dyDescent="0.2">
      <c r="A274" s="74">
        <v>99348</v>
      </c>
      <c r="B274" s="179" t="s">
        <v>881</v>
      </c>
      <c r="C274" s="74">
        <v>30021205</v>
      </c>
      <c r="D274" s="74" t="s">
        <v>881</v>
      </c>
      <c r="E274" s="174" t="s">
        <v>881</v>
      </c>
      <c r="F274" s="174" t="s">
        <v>699</v>
      </c>
      <c r="G274" s="174" t="s">
        <v>1049</v>
      </c>
      <c r="H274" s="174" t="s">
        <v>329</v>
      </c>
      <c r="I274" s="174" t="s">
        <v>348</v>
      </c>
      <c r="J274" s="174" t="s">
        <v>349</v>
      </c>
      <c r="K274" s="174" t="s">
        <v>334</v>
      </c>
      <c r="L274" s="174">
        <v>20062304</v>
      </c>
      <c r="M274" s="185" t="s">
        <v>883</v>
      </c>
      <c r="N274" s="174" t="s">
        <v>896</v>
      </c>
      <c r="O274" s="174" t="s">
        <v>495</v>
      </c>
      <c r="P274" s="174" t="s">
        <v>496</v>
      </c>
      <c r="Q274" s="174" t="s">
        <v>497</v>
      </c>
      <c r="R274" s="174" t="s">
        <v>1196</v>
      </c>
      <c r="S274" s="174" t="s">
        <v>881</v>
      </c>
      <c r="T274" s="174" t="s">
        <v>881</v>
      </c>
      <c r="U274" s="184"/>
    </row>
    <row r="275" spans="1:21" ht="20.100000000000001" customHeight="1" x14ac:dyDescent="0.2">
      <c r="A275" s="74">
        <v>99349</v>
      </c>
      <c r="B275" s="179" t="s">
        <v>881</v>
      </c>
      <c r="C275" s="74">
        <v>30022637</v>
      </c>
      <c r="D275" s="74" t="s">
        <v>881</v>
      </c>
      <c r="E275" s="174" t="s">
        <v>881</v>
      </c>
      <c r="F275" s="174" t="s">
        <v>21</v>
      </c>
      <c r="G275" s="174" t="s">
        <v>1066</v>
      </c>
      <c r="H275" s="174" t="s">
        <v>332</v>
      </c>
      <c r="I275" s="202" t="s">
        <v>940</v>
      </c>
      <c r="J275" s="174" t="s">
        <v>253</v>
      </c>
      <c r="K275" s="174" t="s">
        <v>1072</v>
      </c>
      <c r="L275" s="174" t="s">
        <v>29</v>
      </c>
      <c r="M275" s="174" t="s">
        <v>41</v>
      </c>
      <c r="N275" s="174" t="s">
        <v>48</v>
      </c>
      <c r="O275" s="174" t="s">
        <v>373</v>
      </c>
      <c r="P275" s="174" t="s">
        <v>374</v>
      </c>
      <c r="Q275" s="174" t="s">
        <v>412</v>
      </c>
      <c r="R275" s="174" t="s">
        <v>509</v>
      </c>
      <c r="S275" s="174" t="s">
        <v>881</v>
      </c>
      <c r="T275" s="174">
        <v>1</v>
      </c>
      <c r="U275" s="184"/>
    </row>
    <row r="276" spans="1:21" ht="20.100000000000001" customHeight="1" x14ac:dyDescent="0.2">
      <c r="A276" s="74">
        <v>99350</v>
      </c>
      <c r="B276" s="179" t="s">
        <v>881</v>
      </c>
      <c r="C276" s="74">
        <v>30017431</v>
      </c>
      <c r="D276" s="74" t="s">
        <v>881</v>
      </c>
      <c r="E276" s="174" t="s">
        <v>881</v>
      </c>
      <c r="F276" s="174" t="s">
        <v>21</v>
      </c>
      <c r="G276" s="174" t="s">
        <v>1064</v>
      </c>
      <c r="H276" s="174" t="s">
        <v>332</v>
      </c>
      <c r="I276" s="174" t="s">
        <v>1435</v>
      </c>
      <c r="J276" s="174" t="s">
        <v>3</v>
      </c>
      <c r="K276" s="174" t="s">
        <v>1072</v>
      </c>
      <c r="L276" s="174">
        <v>40047039</v>
      </c>
      <c r="M276" s="174" t="s">
        <v>41</v>
      </c>
      <c r="N276" s="174" t="s">
        <v>881</v>
      </c>
      <c r="O276" s="174" t="s">
        <v>441</v>
      </c>
      <c r="P276" s="174" t="s">
        <v>427</v>
      </c>
      <c r="Q276" s="174" t="s">
        <v>412</v>
      </c>
      <c r="R276" s="174" t="s">
        <v>1196</v>
      </c>
      <c r="S276" s="174" t="s">
        <v>881</v>
      </c>
      <c r="T276" s="174">
        <v>3</v>
      </c>
      <c r="U276" s="184"/>
    </row>
    <row r="277" spans="1:21" ht="20.100000000000001" customHeight="1" x14ac:dyDescent="0.2">
      <c r="A277" s="74">
        <v>99360</v>
      </c>
      <c r="B277" s="179" t="s">
        <v>881</v>
      </c>
      <c r="C277" s="74">
        <v>30017722</v>
      </c>
      <c r="D277" s="74" t="s">
        <v>881</v>
      </c>
      <c r="E277" s="174" t="s">
        <v>881</v>
      </c>
      <c r="F277" s="174" t="s">
        <v>21</v>
      </c>
      <c r="G277" s="174" t="s">
        <v>1066</v>
      </c>
      <c r="H277" s="174" t="s">
        <v>332</v>
      </c>
      <c r="I277" s="174" t="s">
        <v>1435</v>
      </c>
      <c r="J277" s="174" t="s">
        <v>3</v>
      </c>
      <c r="K277" s="174" t="s">
        <v>1072</v>
      </c>
      <c r="L277" s="174" t="s">
        <v>18</v>
      </c>
      <c r="M277" s="174" t="s">
        <v>43</v>
      </c>
      <c r="N277" s="174" t="s">
        <v>47</v>
      </c>
      <c r="O277" s="174" t="s">
        <v>881</v>
      </c>
      <c r="P277" s="174" t="s">
        <v>881</v>
      </c>
      <c r="Q277" s="174" t="s">
        <v>881</v>
      </c>
      <c r="R277" s="174" t="s">
        <v>1196</v>
      </c>
      <c r="S277" s="174" t="s">
        <v>881</v>
      </c>
      <c r="T277" s="174" t="s">
        <v>881</v>
      </c>
      <c r="U277" s="184"/>
    </row>
    <row r="278" spans="1:21" ht="20.100000000000001" customHeight="1" x14ac:dyDescent="0.2">
      <c r="A278" s="74">
        <v>99371</v>
      </c>
      <c r="B278" s="179" t="s">
        <v>881</v>
      </c>
      <c r="C278" s="74">
        <v>30020445</v>
      </c>
      <c r="D278" s="74" t="s">
        <v>881</v>
      </c>
      <c r="E278" s="174" t="s">
        <v>881</v>
      </c>
      <c r="F278" s="174" t="s">
        <v>335</v>
      </c>
      <c r="G278" s="174" t="s">
        <v>1047</v>
      </c>
      <c r="H278" s="174" t="s">
        <v>332</v>
      </c>
      <c r="I278" s="174" t="s">
        <v>957</v>
      </c>
      <c r="J278" s="174" t="s">
        <v>80</v>
      </c>
      <c r="K278" s="174" t="s">
        <v>334</v>
      </c>
      <c r="L278" s="174">
        <v>20061106</v>
      </c>
      <c r="M278" s="174" t="s">
        <v>73</v>
      </c>
      <c r="N278" s="174" t="s">
        <v>255</v>
      </c>
      <c r="O278" s="174" t="s">
        <v>481</v>
      </c>
      <c r="P278" s="174" t="s">
        <v>482</v>
      </c>
      <c r="Q278" s="174" t="s">
        <v>412</v>
      </c>
      <c r="R278" s="174" t="s">
        <v>509</v>
      </c>
      <c r="S278" s="174" t="s">
        <v>881</v>
      </c>
      <c r="T278" s="174">
        <v>3</v>
      </c>
      <c r="U278" s="184"/>
    </row>
    <row r="279" spans="1:21" ht="20.100000000000001" customHeight="1" x14ac:dyDescent="0.2">
      <c r="A279" s="74">
        <v>99372</v>
      </c>
      <c r="B279" s="179" t="s">
        <v>881</v>
      </c>
      <c r="C279" s="74">
        <v>30020735</v>
      </c>
      <c r="D279" s="74" t="s">
        <v>881</v>
      </c>
      <c r="E279" s="174" t="s">
        <v>881</v>
      </c>
      <c r="F279" s="174" t="s">
        <v>698</v>
      </c>
      <c r="G279" s="174" t="s">
        <v>1047</v>
      </c>
      <c r="H279" s="174" t="s">
        <v>332</v>
      </c>
      <c r="I279" s="174" t="s">
        <v>1445</v>
      </c>
      <c r="J279" s="174" t="s">
        <v>14</v>
      </c>
      <c r="K279" s="174" t="s">
        <v>334</v>
      </c>
      <c r="L279" s="174">
        <v>20060245</v>
      </c>
      <c r="M279" s="174" t="s">
        <v>73</v>
      </c>
      <c r="N279" s="174" t="s">
        <v>634</v>
      </c>
      <c r="O279" s="174" t="s">
        <v>444</v>
      </c>
      <c r="P279" s="174" t="s">
        <v>832</v>
      </c>
      <c r="Q279" s="174" t="s">
        <v>412</v>
      </c>
      <c r="R279" s="174" t="s">
        <v>509</v>
      </c>
      <c r="S279" s="174" t="s">
        <v>881</v>
      </c>
      <c r="T279" s="174">
        <v>3</v>
      </c>
      <c r="U279" s="184"/>
    </row>
    <row r="280" spans="1:21" ht="20.100000000000001" customHeight="1" x14ac:dyDescent="0.2">
      <c r="A280" s="74">
        <v>99373</v>
      </c>
      <c r="B280" s="179" t="s">
        <v>881</v>
      </c>
      <c r="C280" s="74">
        <v>30020395</v>
      </c>
      <c r="D280" s="74" t="s">
        <v>881</v>
      </c>
      <c r="E280" s="174" t="s">
        <v>881</v>
      </c>
      <c r="F280" s="174" t="s">
        <v>21</v>
      </c>
      <c r="G280" s="174" t="s">
        <v>1066</v>
      </c>
      <c r="H280" s="174" t="s">
        <v>332</v>
      </c>
      <c r="I280" s="202" t="s">
        <v>940</v>
      </c>
      <c r="J280" s="174" t="s">
        <v>253</v>
      </c>
      <c r="K280" s="174" t="s">
        <v>334</v>
      </c>
      <c r="L280" s="174" t="s">
        <v>56</v>
      </c>
      <c r="M280" s="174" t="s">
        <v>918</v>
      </c>
      <c r="N280" s="174" t="s">
        <v>911</v>
      </c>
      <c r="O280" s="174" t="s">
        <v>379</v>
      </c>
      <c r="P280" s="174" t="s">
        <v>374</v>
      </c>
      <c r="Q280" s="174" t="s">
        <v>412</v>
      </c>
      <c r="R280" s="174" t="s">
        <v>509</v>
      </c>
      <c r="S280" s="174" t="s">
        <v>881</v>
      </c>
      <c r="T280" s="174">
        <v>1</v>
      </c>
      <c r="U280" s="184"/>
    </row>
    <row r="281" spans="1:21" ht="20.100000000000001" customHeight="1" x14ac:dyDescent="0.2">
      <c r="A281" s="74">
        <v>99374</v>
      </c>
      <c r="B281" s="179" t="s">
        <v>881</v>
      </c>
      <c r="C281" s="74">
        <v>30020336</v>
      </c>
      <c r="D281" s="74" t="s">
        <v>881</v>
      </c>
      <c r="E281" s="174" t="s">
        <v>881</v>
      </c>
      <c r="F281" s="174" t="s">
        <v>21</v>
      </c>
      <c r="G281" s="174" t="s">
        <v>1066</v>
      </c>
      <c r="H281" s="174" t="s">
        <v>332</v>
      </c>
      <c r="I281" s="174" t="s">
        <v>1440</v>
      </c>
      <c r="J281" s="174" t="s">
        <v>16</v>
      </c>
      <c r="K281" s="174" t="s">
        <v>334</v>
      </c>
      <c r="L281" s="174" t="s">
        <v>61</v>
      </c>
      <c r="M281" s="174" t="s">
        <v>73</v>
      </c>
      <c r="N281" s="174" t="s">
        <v>59</v>
      </c>
      <c r="O281" s="174" t="s">
        <v>445</v>
      </c>
      <c r="P281" s="174" t="s">
        <v>425</v>
      </c>
      <c r="Q281" s="174" t="s">
        <v>412</v>
      </c>
      <c r="R281" s="174" t="s">
        <v>509</v>
      </c>
      <c r="S281" s="174" t="s">
        <v>881</v>
      </c>
      <c r="T281" s="174">
        <v>1</v>
      </c>
      <c r="U281" s="184"/>
    </row>
    <row r="282" spans="1:21" ht="20.100000000000001" customHeight="1" x14ac:dyDescent="0.2">
      <c r="A282" s="74">
        <v>99377</v>
      </c>
      <c r="B282" s="179" t="s">
        <v>881</v>
      </c>
      <c r="C282" s="74">
        <v>30020706</v>
      </c>
      <c r="D282" s="74" t="s">
        <v>881</v>
      </c>
      <c r="E282" s="174" t="s">
        <v>881</v>
      </c>
      <c r="F282" s="174" t="s">
        <v>698</v>
      </c>
      <c r="G282" s="174" t="s">
        <v>1041</v>
      </c>
      <c r="H282" s="174" t="s">
        <v>332</v>
      </c>
      <c r="I282" s="174" t="s">
        <v>1446</v>
      </c>
      <c r="J282" s="174" t="s">
        <v>36</v>
      </c>
      <c r="K282" s="174" t="s">
        <v>334</v>
      </c>
      <c r="L282" s="174">
        <v>20060908</v>
      </c>
      <c r="M282" s="174" t="s">
        <v>73</v>
      </c>
      <c r="N282" s="174" t="s">
        <v>255</v>
      </c>
      <c r="O282" s="174" t="s">
        <v>483</v>
      </c>
      <c r="P282" s="174" t="s">
        <v>482</v>
      </c>
      <c r="Q282" s="174" t="s">
        <v>412</v>
      </c>
      <c r="R282" s="174" t="s">
        <v>509</v>
      </c>
      <c r="S282" s="174" t="s">
        <v>881</v>
      </c>
      <c r="T282" s="174">
        <v>3</v>
      </c>
      <c r="U282" s="184"/>
    </row>
    <row r="283" spans="1:21" ht="20.100000000000001" customHeight="1" x14ac:dyDescent="0.2">
      <c r="A283" s="74">
        <v>99380</v>
      </c>
      <c r="B283" s="179" t="s">
        <v>881</v>
      </c>
      <c r="C283" s="74">
        <v>30017939</v>
      </c>
      <c r="D283" s="74" t="s">
        <v>881</v>
      </c>
      <c r="E283" s="174" t="s">
        <v>881</v>
      </c>
      <c r="F283" s="174" t="s">
        <v>21</v>
      </c>
      <c r="G283" s="174" t="s">
        <v>1066</v>
      </c>
      <c r="H283" s="174" t="s">
        <v>332</v>
      </c>
      <c r="I283" s="174" t="s">
        <v>1444</v>
      </c>
      <c r="J283" s="174" t="s">
        <v>16</v>
      </c>
      <c r="K283" s="174" t="s">
        <v>1072</v>
      </c>
      <c r="L283" s="174" t="s">
        <v>31</v>
      </c>
      <c r="M283" s="174" t="s">
        <v>703</v>
      </c>
      <c r="N283" s="174" t="s">
        <v>59</v>
      </c>
      <c r="O283" s="174" t="s">
        <v>445</v>
      </c>
      <c r="P283" s="174" t="s">
        <v>425</v>
      </c>
      <c r="Q283" s="174" t="s">
        <v>412</v>
      </c>
      <c r="R283" s="174" t="s">
        <v>509</v>
      </c>
      <c r="S283" s="174" t="s">
        <v>881</v>
      </c>
      <c r="T283" s="174">
        <v>1</v>
      </c>
      <c r="U283" s="184"/>
    </row>
    <row r="284" spans="1:21" ht="20.100000000000001" customHeight="1" x14ac:dyDescent="0.2">
      <c r="A284" s="74">
        <v>99381</v>
      </c>
      <c r="B284" s="179" t="s">
        <v>881</v>
      </c>
      <c r="C284" s="206">
        <v>30019354</v>
      </c>
      <c r="D284" s="74" t="s">
        <v>881</v>
      </c>
      <c r="E284" s="174" t="s">
        <v>881</v>
      </c>
      <c r="F284" s="174" t="s">
        <v>21</v>
      </c>
      <c r="G284" s="174" t="s">
        <v>1066</v>
      </c>
      <c r="H284" s="174" t="s">
        <v>332</v>
      </c>
      <c r="I284" s="174" t="s">
        <v>1437</v>
      </c>
      <c r="J284" s="174" t="s">
        <v>16</v>
      </c>
      <c r="K284" s="174" t="s">
        <v>1072</v>
      </c>
      <c r="L284" s="174" t="s">
        <v>31</v>
      </c>
      <c r="M284" s="174" t="s">
        <v>703</v>
      </c>
      <c r="N284" s="174" t="s">
        <v>352</v>
      </c>
      <c r="O284" s="174" t="s">
        <v>445</v>
      </c>
      <c r="P284" s="174" t="s">
        <v>425</v>
      </c>
      <c r="Q284" s="174" t="s">
        <v>412</v>
      </c>
      <c r="R284" s="174" t="s">
        <v>509</v>
      </c>
      <c r="S284" s="174" t="s">
        <v>881</v>
      </c>
      <c r="T284" s="174">
        <v>1</v>
      </c>
      <c r="U284" s="184"/>
    </row>
    <row r="285" spans="1:21" ht="20.100000000000001" customHeight="1" x14ac:dyDescent="0.2">
      <c r="A285" s="74">
        <v>99390</v>
      </c>
      <c r="B285" s="179" t="s">
        <v>881</v>
      </c>
      <c r="C285" s="74">
        <v>30018243</v>
      </c>
      <c r="D285" s="74" t="s">
        <v>881</v>
      </c>
      <c r="E285" s="174" t="s">
        <v>881</v>
      </c>
      <c r="F285" s="174" t="s">
        <v>21</v>
      </c>
      <c r="G285" s="174" t="s">
        <v>1064</v>
      </c>
      <c r="H285" s="174" t="s">
        <v>332</v>
      </c>
      <c r="I285" s="174" t="s">
        <v>1435</v>
      </c>
      <c r="J285" s="174" t="s">
        <v>3</v>
      </c>
      <c r="K285" s="174" t="s">
        <v>1072</v>
      </c>
      <c r="L285" s="174">
        <v>20058695</v>
      </c>
      <c r="M285" s="174" t="s">
        <v>41</v>
      </c>
      <c r="N285" s="174" t="s">
        <v>881</v>
      </c>
      <c r="O285" s="174" t="s">
        <v>441</v>
      </c>
      <c r="P285" s="174" t="s">
        <v>427</v>
      </c>
      <c r="Q285" s="174" t="s">
        <v>412</v>
      </c>
      <c r="R285" s="174" t="s">
        <v>1196</v>
      </c>
      <c r="S285" s="174" t="s">
        <v>881</v>
      </c>
      <c r="T285" s="174">
        <v>3</v>
      </c>
      <c r="U285" s="184"/>
    </row>
    <row r="286" spans="1:21" ht="20.100000000000001" customHeight="1" x14ac:dyDescent="0.2">
      <c r="A286" s="74">
        <v>99391</v>
      </c>
      <c r="B286" s="179" t="s">
        <v>881</v>
      </c>
      <c r="C286" s="74">
        <v>30018791</v>
      </c>
      <c r="D286" s="74" t="s">
        <v>881</v>
      </c>
      <c r="E286" s="174" t="s">
        <v>881</v>
      </c>
      <c r="F286" s="174" t="s">
        <v>335</v>
      </c>
      <c r="G286" s="174" t="s">
        <v>1064</v>
      </c>
      <c r="H286" s="174" t="s">
        <v>332</v>
      </c>
      <c r="I286" s="174" t="s">
        <v>1437</v>
      </c>
      <c r="J286" s="174" t="s">
        <v>16</v>
      </c>
      <c r="K286" s="174" t="s">
        <v>1072</v>
      </c>
      <c r="L286" s="174">
        <v>20059570</v>
      </c>
      <c r="M286" s="174" t="s">
        <v>41</v>
      </c>
      <c r="N286" s="174" t="s">
        <v>881</v>
      </c>
      <c r="O286" s="174" t="s">
        <v>478</v>
      </c>
      <c r="P286" s="174" t="s">
        <v>477</v>
      </c>
      <c r="Q286" s="174" t="s">
        <v>412</v>
      </c>
      <c r="R286" s="174" t="s">
        <v>1196</v>
      </c>
      <c r="S286" s="174" t="s">
        <v>881</v>
      </c>
      <c r="T286" s="174">
        <v>3</v>
      </c>
      <c r="U286" s="184"/>
    </row>
    <row r="287" spans="1:21" ht="20.100000000000001" customHeight="1" x14ac:dyDescent="0.2">
      <c r="A287" s="74">
        <v>99400</v>
      </c>
      <c r="B287" s="179" t="s">
        <v>881</v>
      </c>
      <c r="C287" s="74">
        <v>30020418</v>
      </c>
      <c r="D287" s="74" t="s">
        <v>881</v>
      </c>
      <c r="E287" s="174" t="s">
        <v>881</v>
      </c>
      <c r="F287" s="174" t="s">
        <v>699</v>
      </c>
      <c r="G287" s="174" t="s">
        <v>1058</v>
      </c>
      <c r="H287" s="174" t="s">
        <v>329</v>
      </c>
      <c r="I287" s="174" t="s">
        <v>348</v>
      </c>
      <c r="J287" s="174" t="s">
        <v>349</v>
      </c>
      <c r="K287" s="174" t="s">
        <v>1072</v>
      </c>
      <c r="L287" s="174">
        <v>20059110</v>
      </c>
      <c r="M287" s="185" t="s">
        <v>73</v>
      </c>
      <c r="N287" s="174" t="s">
        <v>65</v>
      </c>
      <c r="O287" s="174" t="s">
        <v>493</v>
      </c>
      <c r="P287" s="174" t="s">
        <v>1497</v>
      </c>
      <c r="Q287" s="174" t="s">
        <v>508</v>
      </c>
      <c r="R287" s="174" t="s">
        <v>1196</v>
      </c>
      <c r="S287" s="174" t="s">
        <v>881</v>
      </c>
      <c r="T287" s="174" t="s">
        <v>881</v>
      </c>
      <c r="U287" s="184"/>
    </row>
    <row r="288" spans="1:21" ht="20.100000000000001" customHeight="1" x14ac:dyDescent="0.2">
      <c r="A288" s="74">
        <v>99410</v>
      </c>
      <c r="B288" s="179" t="s">
        <v>881</v>
      </c>
      <c r="C288" s="74">
        <v>30018289</v>
      </c>
      <c r="D288" s="74" t="s">
        <v>881</v>
      </c>
      <c r="E288" s="174" t="s">
        <v>881</v>
      </c>
      <c r="F288" s="174" t="s">
        <v>21</v>
      </c>
      <c r="G288" s="174" t="s">
        <v>1047</v>
      </c>
      <c r="H288" s="174" t="s">
        <v>332</v>
      </c>
      <c r="I288" s="174" t="s">
        <v>1439</v>
      </c>
      <c r="J288" s="174" t="s">
        <v>26</v>
      </c>
      <c r="K288" s="174" t="s">
        <v>1072</v>
      </c>
      <c r="L288" s="174">
        <v>20058877</v>
      </c>
      <c r="M288" s="174" t="s">
        <v>41</v>
      </c>
      <c r="N288" s="174" t="s">
        <v>45</v>
      </c>
      <c r="O288" s="174" t="s">
        <v>395</v>
      </c>
      <c r="P288" s="174" t="s">
        <v>397</v>
      </c>
      <c r="Q288" s="174" t="s">
        <v>396</v>
      </c>
      <c r="R288" s="174" t="s">
        <v>1196</v>
      </c>
      <c r="S288" s="174" t="s">
        <v>881</v>
      </c>
      <c r="T288" s="174">
        <v>1</v>
      </c>
      <c r="U288" s="184"/>
    </row>
    <row r="289" spans="1:21" ht="20.100000000000001" customHeight="1" x14ac:dyDescent="0.2">
      <c r="A289" s="74">
        <v>99411</v>
      </c>
      <c r="B289" s="179" t="s">
        <v>881</v>
      </c>
      <c r="C289" s="74">
        <v>30019126</v>
      </c>
      <c r="D289" s="74" t="s">
        <v>881</v>
      </c>
      <c r="E289" s="174" t="s">
        <v>881</v>
      </c>
      <c r="F289" s="174" t="s">
        <v>21</v>
      </c>
      <c r="G289" s="174" t="s">
        <v>1064</v>
      </c>
      <c r="H289" s="174" t="s">
        <v>332</v>
      </c>
      <c r="I289" s="174" t="s">
        <v>1436</v>
      </c>
      <c r="J289" s="174" t="s">
        <v>27</v>
      </c>
      <c r="K289" s="174" t="s">
        <v>1072</v>
      </c>
      <c r="L289" s="174">
        <v>20058695</v>
      </c>
      <c r="M289" s="174" t="s">
        <v>41</v>
      </c>
      <c r="N289" s="174" t="s">
        <v>881</v>
      </c>
      <c r="O289" s="174" t="s">
        <v>441</v>
      </c>
      <c r="P289" s="174" t="s">
        <v>427</v>
      </c>
      <c r="Q289" s="174" t="s">
        <v>412</v>
      </c>
      <c r="R289" s="174" t="s">
        <v>1196</v>
      </c>
      <c r="S289" s="174" t="s">
        <v>881</v>
      </c>
      <c r="T289" s="174">
        <v>3</v>
      </c>
      <c r="U289" s="184"/>
    </row>
    <row r="290" spans="1:21" ht="20.100000000000001" customHeight="1" x14ac:dyDescent="0.2">
      <c r="A290" s="74">
        <v>99420</v>
      </c>
      <c r="B290" s="179" t="s">
        <v>881</v>
      </c>
      <c r="C290" s="74">
        <v>30018247</v>
      </c>
      <c r="D290" s="74" t="s">
        <v>881</v>
      </c>
      <c r="E290" s="174" t="s">
        <v>881</v>
      </c>
      <c r="F290" s="174" t="s">
        <v>335</v>
      </c>
      <c r="G290" s="174" t="s">
        <v>1047</v>
      </c>
      <c r="H290" s="174" t="s">
        <v>332</v>
      </c>
      <c r="I290" s="174" t="s">
        <v>1436</v>
      </c>
      <c r="J290" s="174" t="s">
        <v>27</v>
      </c>
      <c r="K290" s="174" t="s">
        <v>1072</v>
      </c>
      <c r="L290" s="174">
        <v>20058697</v>
      </c>
      <c r="M290" s="174" t="s">
        <v>41</v>
      </c>
      <c r="N290" s="174" t="s">
        <v>881</v>
      </c>
      <c r="O290" s="174" t="s">
        <v>478</v>
      </c>
      <c r="P290" s="174" t="s">
        <v>477</v>
      </c>
      <c r="Q290" s="174" t="s">
        <v>412</v>
      </c>
      <c r="R290" s="174" t="s">
        <v>1196</v>
      </c>
      <c r="S290" s="174" t="s">
        <v>881</v>
      </c>
      <c r="T290" s="174">
        <v>3</v>
      </c>
      <c r="U290" s="184"/>
    </row>
    <row r="291" spans="1:21" ht="20.100000000000001" customHeight="1" x14ac:dyDescent="0.2">
      <c r="A291" s="74">
        <v>99421</v>
      </c>
      <c r="B291" s="179" t="s">
        <v>881</v>
      </c>
      <c r="C291" s="74">
        <v>30018792</v>
      </c>
      <c r="D291" s="74" t="s">
        <v>881</v>
      </c>
      <c r="E291" s="174" t="s">
        <v>881</v>
      </c>
      <c r="F291" s="174" t="s">
        <v>335</v>
      </c>
      <c r="G291" s="174" t="s">
        <v>1064</v>
      </c>
      <c r="H291" s="174" t="s">
        <v>332</v>
      </c>
      <c r="I291" s="174" t="s">
        <v>1437</v>
      </c>
      <c r="J291" s="174" t="s">
        <v>16</v>
      </c>
      <c r="K291" s="174" t="s">
        <v>1072</v>
      </c>
      <c r="L291" s="174">
        <v>20058697</v>
      </c>
      <c r="M291" s="174" t="s">
        <v>41</v>
      </c>
      <c r="N291" s="174" t="s">
        <v>881</v>
      </c>
      <c r="O291" s="174" t="s">
        <v>441</v>
      </c>
      <c r="P291" s="174" t="s">
        <v>427</v>
      </c>
      <c r="Q291" s="174" t="s">
        <v>412</v>
      </c>
      <c r="R291" s="174" t="s">
        <v>1196</v>
      </c>
      <c r="S291" s="174" t="s">
        <v>881</v>
      </c>
      <c r="T291" s="174">
        <v>3</v>
      </c>
      <c r="U291" s="184"/>
    </row>
    <row r="292" spans="1:21" ht="20.100000000000001" customHeight="1" x14ac:dyDescent="0.2">
      <c r="A292" s="74">
        <v>99422</v>
      </c>
      <c r="B292" s="179" t="s">
        <v>881</v>
      </c>
      <c r="C292" s="74">
        <v>30019399</v>
      </c>
      <c r="D292" s="74" t="s">
        <v>881</v>
      </c>
      <c r="E292" s="174" t="s">
        <v>881</v>
      </c>
      <c r="F292" s="174" t="s">
        <v>335</v>
      </c>
      <c r="G292" s="174" t="s">
        <v>1041</v>
      </c>
      <c r="H292" s="174" t="s">
        <v>332</v>
      </c>
      <c r="I292" s="174" t="s">
        <v>1468</v>
      </c>
      <c r="J292" s="174" t="s">
        <v>16</v>
      </c>
      <c r="K292" s="174" t="s">
        <v>1072</v>
      </c>
      <c r="L292" s="174">
        <v>20060561</v>
      </c>
      <c r="M292" s="174" t="s">
        <v>41</v>
      </c>
      <c r="N292" s="174" t="s">
        <v>881</v>
      </c>
      <c r="O292" s="174" t="s">
        <v>447</v>
      </c>
      <c r="P292" s="174" t="s">
        <v>448</v>
      </c>
      <c r="Q292" s="174" t="s">
        <v>412</v>
      </c>
      <c r="R292" s="174" t="s">
        <v>1196</v>
      </c>
      <c r="S292" s="174" t="s">
        <v>881</v>
      </c>
      <c r="T292" s="174">
        <v>3</v>
      </c>
      <c r="U292" s="184"/>
    </row>
    <row r="293" spans="1:21" ht="20.100000000000001" customHeight="1" x14ac:dyDescent="0.2">
      <c r="A293" s="74">
        <v>99430</v>
      </c>
      <c r="B293" s="179" t="s">
        <v>881</v>
      </c>
      <c r="C293" s="74">
        <v>30018400</v>
      </c>
      <c r="D293" s="74" t="s">
        <v>881</v>
      </c>
      <c r="E293" s="174" t="s">
        <v>881</v>
      </c>
      <c r="F293" s="174" t="s">
        <v>21</v>
      </c>
      <c r="G293" s="174" t="s">
        <v>1066</v>
      </c>
      <c r="H293" s="174" t="s">
        <v>332</v>
      </c>
      <c r="I293" s="202" t="s">
        <v>940</v>
      </c>
      <c r="J293" s="174" t="s">
        <v>253</v>
      </c>
      <c r="K293" s="174" t="s">
        <v>1072</v>
      </c>
      <c r="L293" s="174" t="s">
        <v>29</v>
      </c>
      <c r="M293" s="174" t="s">
        <v>41</v>
      </c>
      <c r="N293" s="174" t="s">
        <v>48</v>
      </c>
      <c r="O293" s="174" t="s">
        <v>379</v>
      </c>
      <c r="P293" s="174" t="s">
        <v>374</v>
      </c>
      <c r="Q293" s="174" t="s">
        <v>412</v>
      </c>
      <c r="R293" s="174" t="s">
        <v>509</v>
      </c>
      <c r="S293" s="174" t="s">
        <v>881</v>
      </c>
      <c r="T293" s="174">
        <v>1</v>
      </c>
      <c r="U293" s="184"/>
    </row>
    <row r="294" spans="1:21" ht="20.100000000000001" customHeight="1" x14ac:dyDescent="0.2">
      <c r="A294" s="74">
        <v>99438</v>
      </c>
      <c r="B294" s="179" t="s">
        <v>881</v>
      </c>
      <c r="C294" s="74">
        <v>30024299</v>
      </c>
      <c r="D294" s="74" t="s">
        <v>881</v>
      </c>
      <c r="E294" s="174" t="s">
        <v>617</v>
      </c>
      <c r="F294" s="174" t="s">
        <v>671</v>
      </c>
      <c r="G294" s="174" t="s">
        <v>1058</v>
      </c>
      <c r="H294" s="174" t="s">
        <v>329</v>
      </c>
      <c r="I294" s="174" t="s">
        <v>348</v>
      </c>
      <c r="J294" s="174" t="s">
        <v>349</v>
      </c>
      <c r="K294" s="174" t="s">
        <v>334</v>
      </c>
      <c r="L294" s="174">
        <v>20060376</v>
      </c>
      <c r="M294" s="185" t="s">
        <v>73</v>
      </c>
      <c r="N294" s="174" t="s">
        <v>881</v>
      </c>
      <c r="O294" s="174" t="s">
        <v>398</v>
      </c>
      <c r="P294" s="174" t="s">
        <v>399</v>
      </c>
      <c r="Q294" s="174" t="s">
        <v>207</v>
      </c>
      <c r="R294" s="174" t="s">
        <v>1196</v>
      </c>
      <c r="S294" s="174" t="s">
        <v>881</v>
      </c>
      <c r="T294" s="174" t="s">
        <v>633</v>
      </c>
      <c r="U294" s="184"/>
    </row>
    <row r="295" spans="1:21" s="168" customFormat="1" ht="20.100000000000001" customHeight="1" x14ac:dyDescent="0.2">
      <c r="A295" s="188">
        <v>99439</v>
      </c>
      <c r="B295" s="189" t="s">
        <v>1341</v>
      </c>
      <c r="C295" s="171">
        <v>30021034</v>
      </c>
      <c r="D295" s="171">
        <v>30019276</v>
      </c>
      <c r="E295" s="168" t="s">
        <v>881</v>
      </c>
      <c r="F295" s="168" t="s">
        <v>10</v>
      </c>
      <c r="G295" s="168" t="s">
        <v>1058</v>
      </c>
      <c r="H295" s="168" t="s">
        <v>329</v>
      </c>
      <c r="I295" s="168" t="s">
        <v>348</v>
      </c>
      <c r="J295" s="168" t="s">
        <v>349</v>
      </c>
      <c r="K295" s="168" t="s">
        <v>334</v>
      </c>
      <c r="L295" s="168">
        <v>20062778</v>
      </c>
      <c r="M295" s="186" t="s">
        <v>73</v>
      </c>
      <c r="N295" s="168" t="s">
        <v>893</v>
      </c>
      <c r="O295" s="168" t="s">
        <v>1116</v>
      </c>
      <c r="P295" s="168" t="s">
        <v>399</v>
      </c>
      <c r="Q295" s="168" t="s">
        <v>207</v>
      </c>
      <c r="R295" s="168" t="s">
        <v>1196</v>
      </c>
      <c r="S295" s="168" t="s">
        <v>881</v>
      </c>
      <c r="T295" s="168" t="s">
        <v>881</v>
      </c>
      <c r="U295" s="187"/>
    </row>
    <row r="296" spans="1:21" ht="20.100000000000001" customHeight="1" x14ac:dyDescent="0.2">
      <c r="A296" s="74">
        <v>99440</v>
      </c>
      <c r="B296" s="179" t="s">
        <v>881</v>
      </c>
      <c r="C296" s="74">
        <v>30018767</v>
      </c>
      <c r="D296" s="74" t="s">
        <v>881</v>
      </c>
      <c r="E296" s="174" t="s">
        <v>881</v>
      </c>
      <c r="F296" s="174" t="s">
        <v>21</v>
      </c>
      <c r="G296" s="174" t="s">
        <v>1066</v>
      </c>
      <c r="H296" s="174" t="s">
        <v>332</v>
      </c>
      <c r="I296" s="174" t="s">
        <v>1440</v>
      </c>
      <c r="J296" s="174" t="s">
        <v>16</v>
      </c>
      <c r="K296" s="174" t="s">
        <v>1072</v>
      </c>
      <c r="L296" s="174" t="s">
        <v>30</v>
      </c>
      <c r="M296" s="174" t="s">
        <v>41</v>
      </c>
      <c r="N296" s="174" t="s">
        <v>59</v>
      </c>
      <c r="O296" s="174" t="s">
        <v>445</v>
      </c>
      <c r="P296" s="174" t="s">
        <v>425</v>
      </c>
      <c r="Q296" s="174" t="s">
        <v>412</v>
      </c>
      <c r="R296" s="174" t="s">
        <v>509</v>
      </c>
      <c r="S296" s="174" t="s">
        <v>881</v>
      </c>
      <c r="T296" s="174">
        <v>1</v>
      </c>
      <c r="U296" s="184"/>
    </row>
    <row r="297" spans="1:21" s="168" customFormat="1" ht="20.100000000000001" customHeight="1" x14ac:dyDescent="0.2">
      <c r="A297" s="188">
        <v>99441</v>
      </c>
      <c r="B297" s="189" t="s">
        <v>1342</v>
      </c>
      <c r="C297" s="171">
        <v>30023741</v>
      </c>
      <c r="D297" s="171">
        <v>30019277</v>
      </c>
      <c r="E297" s="168" t="s">
        <v>881</v>
      </c>
      <c r="F297" s="168" t="s">
        <v>335</v>
      </c>
      <c r="G297" s="168" t="s">
        <v>1058</v>
      </c>
      <c r="H297" s="168" t="s">
        <v>347</v>
      </c>
      <c r="I297" s="168" t="s">
        <v>348</v>
      </c>
      <c r="J297" s="168" t="s">
        <v>349</v>
      </c>
      <c r="K297" s="168" t="s">
        <v>334</v>
      </c>
      <c r="L297" s="168">
        <v>20062778</v>
      </c>
      <c r="M297" s="168" t="s">
        <v>73</v>
      </c>
      <c r="N297" s="168" t="s">
        <v>339</v>
      </c>
      <c r="O297" s="168" t="s">
        <v>1116</v>
      </c>
      <c r="P297" s="168" t="s">
        <v>399</v>
      </c>
      <c r="Q297" s="168" t="s">
        <v>207</v>
      </c>
      <c r="R297" s="191" t="s">
        <v>1196</v>
      </c>
      <c r="S297" s="168" t="s">
        <v>881</v>
      </c>
      <c r="T297" s="168" t="s">
        <v>881</v>
      </c>
      <c r="U297" s="187"/>
    </row>
    <row r="298" spans="1:21" s="168" customFormat="1" ht="20.100000000000001" customHeight="1" x14ac:dyDescent="0.2">
      <c r="A298" s="188">
        <v>99442</v>
      </c>
      <c r="B298" s="189" t="s">
        <v>1343</v>
      </c>
      <c r="C298" s="171">
        <v>30021048</v>
      </c>
      <c r="D298" s="171">
        <v>30019300</v>
      </c>
      <c r="E298" s="168" t="s">
        <v>881</v>
      </c>
      <c r="F298" s="168" t="s">
        <v>699</v>
      </c>
      <c r="G298" s="168" t="s">
        <v>1046</v>
      </c>
      <c r="H298" s="168" t="s">
        <v>329</v>
      </c>
      <c r="I298" s="168" t="s">
        <v>348</v>
      </c>
      <c r="J298" s="168" t="s">
        <v>349</v>
      </c>
      <c r="K298" s="168" t="s">
        <v>334</v>
      </c>
      <c r="L298" s="168">
        <v>20060526</v>
      </c>
      <c r="M298" s="168" t="s">
        <v>73</v>
      </c>
      <c r="N298" s="168" t="s">
        <v>886</v>
      </c>
      <c r="O298" s="168" t="s">
        <v>1114</v>
      </c>
      <c r="P298" s="168" t="s">
        <v>1511</v>
      </c>
      <c r="Q298" s="168" t="s">
        <v>406</v>
      </c>
      <c r="R298" s="168" t="s">
        <v>1196</v>
      </c>
      <c r="S298" s="168" t="s">
        <v>881</v>
      </c>
      <c r="T298" s="168" t="s">
        <v>881</v>
      </c>
      <c r="U298" s="187"/>
    </row>
    <row r="299" spans="1:21" ht="20.100000000000001" customHeight="1" x14ac:dyDescent="0.2">
      <c r="A299" s="74">
        <v>99444</v>
      </c>
      <c r="B299" s="179" t="s">
        <v>881</v>
      </c>
      <c r="C299" s="74">
        <v>30019510</v>
      </c>
      <c r="D299" s="74" t="s">
        <v>881</v>
      </c>
      <c r="E299" s="174" t="s">
        <v>881</v>
      </c>
      <c r="F299" s="174" t="s">
        <v>335</v>
      </c>
      <c r="G299" s="174" t="s">
        <v>1041</v>
      </c>
      <c r="H299" s="174" t="s">
        <v>336</v>
      </c>
      <c r="I299" s="174" t="s">
        <v>1469</v>
      </c>
      <c r="J299" s="174" t="s">
        <v>52</v>
      </c>
      <c r="K299" s="174" t="s">
        <v>1072</v>
      </c>
      <c r="L299" s="174">
        <v>20059441</v>
      </c>
      <c r="M299" s="174" t="s">
        <v>41</v>
      </c>
      <c r="N299" s="174" t="s">
        <v>881</v>
      </c>
      <c r="O299" s="174" t="s">
        <v>484</v>
      </c>
      <c r="P299" s="174" t="s">
        <v>468</v>
      </c>
      <c r="Q299" s="174" t="s">
        <v>412</v>
      </c>
      <c r="R299" s="174" t="s">
        <v>1196</v>
      </c>
      <c r="S299" s="174" t="s">
        <v>881</v>
      </c>
      <c r="T299" s="174">
        <v>3</v>
      </c>
      <c r="U299" s="184"/>
    </row>
    <row r="300" spans="1:21" s="168" customFormat="1" ht="20.100000000000001" customHeight="1" x14ac:dyDescent="0.2">
      <c r="A300" s="188">
        <v>99446</v>
      </c>
      <c r="B300" s="189" t="s">
        <v>1344</v>
      </c>
      <c r="C300" s="171">
        <v>30021100</v>
      </c>
      <c r="D300" s="171">
        <v>30019279</v>
      </c>
      <c r="E300" s="168" t="s">
        <v>881</v>
      </c>
      <c r="F300" s="168" t="s">
        <v>699</v>
      </c>
      <c r="G300" s="168" t="s">
        <v>1058</v>
      </c>
      <c r="H300" s="168" t="s">
        <v>329</v>
      </c>
      <c r="I300" s="168" t="s">
        <v>348</v>
      </c>
      <c r="J300" s="168" t="s">
        <v>349</v>
      </c>
      <c r="K300" s="168" t="s">
        <v>334</v>
      </c>
      <c r="L300" s="168">
        <v>20060526</v>
      </c>
      <c r="M300" s="168" t="s">
        <v>73</v>
      </c>
      <c r="N300" s="168" t="s">
        <v>881</v>
      </c>
      <c r="O300" s="168" t="s">
        <v>1111</v>
      </c>
      <c r="P300" s="168" t="s">
        <v>1511</v>
      </c>
      <c r="Q300" s="168" t="s">
        <v>406</v>
      </c>
      <c r="R300" s="168" t="s">
        <v>1196</v>
      </c>
      <c r="S300" s="168" t="s">
        <v>881</v>
      </c>
      <c r="T300" s="168" t="s">
        <v>881</v>
      </c>
      <c r="U300" s="187"/>
    </row>
    <row r="301" spans="1:21" s="168" customFormat="1" ht="20.100000000000001" customHeight="1" x14ac:dyDescent="0.2">
      <c r="A301" s="188">
        <v>99447</v>
      </c>
      <c r="B301" s="189" t="s">
        <v>1345</v>
      </c>
      <c r="C301" s="171">
        <v>30021039</v>
      </c>
      <c r="D301" s="171">
        <v>30019278</v>
      </c>
      <c r="E301" s="168" t="s">
        <v>881</v>
      </c>
      <c r="F301" s="168" t="s">
        <v>10</v>
      </c>
      <c r="G301" s="168" t="s">
        <v>1046</v>
      </c>
      <c r="H301" s="168" t="s">
        <v>329</v>
      </c>
      <c r="I301" s="205" t="s">
        <v>940</v>
      </c>
      <c r="J301" s="168" t="s">
        <v>253</v>
      </c>
      <c r="K301" s="168" t="s">
        <v>334</v>
      </c>
      <c r="L301" s="168">
        <v>20060527</v>
      </c>
      <c r="M301" s="168" t="s">
        <v>73</v>
      </c>
      <c r="N301" s="168" t="s">
        <v>914</v>
      </c>
      <c r="O301" s="168" t="s">
        <v>1118</v>
      </c>
      <c r="P301" s="168" t="s">
        <v>416</v>
      </c>
      <c r="Q301" s="168" t="s">
        <v>406</v>
      </c>
      <c r="R301" s="168" t="s">
        <v>1196</v>
      </c>
      <c r="S301" s="168" t="s">
        <v>881</v>
      </c>
      <c r="T301" s="168" t="s">
        <v>881</v>
      </c>
      <c r="U301" s="187"/>
    </row>
    <row r="302" spans="1:21" s="168" customFormat="1" ht="20.100000000000001" customHeight="1" x14ac:dyDescent="0.2">
      <c r="A302" s="188">
        <v>99448</v>
      </c>
      <c r="B302" s="189" t="s">
        <v>1346</v>
      </c>
      <c r="C302" s="171">
        <v>30021072</v>
      </c>
      <c r="D302" s="171">
        <v>30019301</v>
      </c>
      <c r="E302" s="168" t="s">
        <v>881</v>
      </c>
      <c r="F302" s="168" t="s">
        <v>10</v>
      </c>
      <c r="G302" s="168" t="s">
        <v>1063</v>
      </c>
      <c r="H302" s="168" t="s">
        <v>330</v>
      </c>
      <c r="I302" s="168" t="s">
        <v>957</v>
      </c>
      <c r="J302" s="168" t="s">
        <v>80</v>
      </c>
      <c r="K302" s="168" t="s">
        <v>334</v>
      </c>
      <c r="L302" s="168">
        <v>20060255</v>
      </c>
      <c r="M302" s="186" t="s">
        <v>73</v>
      </c>
      <c r="N302" s="168" t="s">
        <v>111</v>
      </c>
      <c r="O302" s="168" t="s">
        <v>1130</v>
      </c>
      <c r="P302" s="168" t="s">
        <v>1210</v>
      </c>
      <c r="Q302" s="168" t="s">
        <v>396</v>
      </c>
      <c r="R302" s="168" t="s">
        <v>1196</v>
      </c>
      <c r="S302" s="168" t="s">
        <v>881</v>
      </c>
      <c r="T302" s="168" t="s">
        <v>881</v>
      </c>
      <c r="U302" s="187"/>
    </row>
    <row r="303" spans="1:21" ht="20.100000000000001" customHeight="1" x14ac:dyDescent="0.2">
      <c r="A303" s="74">
        <v>99450</v>
      </c>
      <c r="B303" s="179" t="s">
        <v>881</v>
      </c>
      <c r="C303" s="74">
        <v>30018939</v>
      </c>
      <c r="D303" s="74" t="s">
        <v>881</v>
      </c>
      <c r="E303" s="174" t="s">
        <v>881</v>
      </c>
      <c r="F303" s="174" t="s">
        <v>698</v>
      </c>
      <c r="G303" s="174" t="s">
        <v>1047</v>
      </c>
      <c r="H303" s="174" t="s">
        <v>332</v>
      </c>
      <c r="I303" s="174" t="s">
        <v>1445</v>
      </c>
      <c r="J303" s="174" t="s">
        <v>14</v>
      </c>
      <c r="K303" s="174" t="s">
        <v>1072</v>
      </c>
      <c r="L303" s="174">
        <v>20059759</v>
      </c>
      <c r="M303" s="174" t="s">
        <v>41</v>
      </c>
      <c r="N303" s="174" t="s">
        <v>634</v>
      </c>
      <c r="O303" s="174" t="s">
        <v>444</v>
      </c>
      <c r="P303" s="174" t="s">
        <v>832</v>
      </c>
      <c r="Q303" s="174" t="s">
        <v>412</v>
      </c>
      <c r="R303" s="174" t="s">
        <v>509</v>
      </c>
      <c r="S303" s="174" t="s">
        <v>881</v>
      </c>
      <c r="T303" s="174">
        <v>3</v>
      </c>
      <c r="U303" s="184"/>
    </row>
    <row r="304" spans="1:21" ht="20.100000000000001" customHeight="1" x14ac:dyDescent="0.2">
      <c r="A304" s="74">
        <v>99451</v>
      </c>
      <c r="B304" s="179" t="s">
        <v>881</v>
      </c>
      <c r="C304" s="74">
        <v>30019410</v>
      </c>
      <c r="D304" s="74" t="s">
        <v>881</v>
      </c>
      <c r="E304" s="174" t="s">
        <v>881</v>
      </c>
      <c r="F304" s="174" t="s">
        <v>335</v>
      </c>
      <c r="G304" s="174" t="s">
        <v>1047</v>
      </c>
      <c r="H304" s="174" t="s">
        <v>332</v>
      </c>
      <c r="I304" s="174" t="s">
        <v>1440</v>
      </c>
      <c r="J304" s="174" t="s">
        <v>16</v>
      </c>
      <c r="K304" s="174" t="s">
        <v>1072</v>
      </c>
      <c r="L304" s="174">
        <v>20058695</v>
      </c>
      <c r="M304" s="174" t="s">
        <v>41</v>
      </c>
      <c r="N304" s="174" t="s">
        <v>881</v>
      </c>
      <c r="O304" s="174" t="s">
        <v>442</v>
      </c>
      <c r="P304" s="174" t="s">
        <v>427</v>
      </c>
      <c r="Q304" s="174" t="s">
        <v>412</v>
      </c>
      <c r="R304" s="174" t="s">
        <v>1196</v>
      </c>
      <c r="S304" s="174" t="s">
        <v>881</v>
      </c>
      <c r="T304" s="174">
        <v>3</v>
      </c>
      <c r="U304" s="184"/>
    </row>
    <row r="305" spans="1:21" ht="20.100000000000001" customHeight="1" x14ac:dyDescent="0.2">
      <c r="A305" s="74">
        <v>99452</v>
      </c>
      <c r="B305" s="179" t="s">
        <v>881</v>
      </c>
      <c r="C305" s="74">
        <v>30021352</v>
      </c>
      <c r="D305" s="74" t="s">
        <v>881</v>
      </c>
      <c r="E305" s="174" t="s">
        <v>881</v>
      </c>
      <c r="F305" s="174" t="s">
        <v>335</v>
      </c>
      <c r="G305" s="174" t="s">
        <v>1047</v>
      </c>
      <c r="H305" s="174" t="s">
        <v>332</v>
      </c>
      <c r="I305" s="174" t="s">
        <v>1447</v>
      </c>
      <c r="J305" s="174" t="s">
        <v>16</v>
      </c>
      <c r="K305" s="174" t="s">
        <v>334</v>
      </c>
      <c r="L305" s="174">
        <v>20060730</v>
      </c>
      <c r="M305" s="185" t="s">
        <v>73</v>
      </c>
      <c r="N305" s="174" t="s">
        <v>881</v>
      </c>
      <c r="O305" s="174" t="s">
        <v>426</v>
      </c>
      <c r="P305" s="174" t="s">
        <v>427</v>
      </c>
      <c r="Q305" s="174" t="s">
        <v>412</v>
      </c>
      <c r="R305" s="174" t="s">
        <v>1196</v>
      </c>
      <c r="S305" s="174" t="s">
        <v>881</v>
      </c>
      <c r="T305" s="174">
        <v>3</v>
      </c>
      <c r="U305" s="184"/>
    </row>
    <row r="306" spans="1:21" ht="20.100000000000001" customHeight="1" x14ac:dyDescent="0.2">
      <c r="A306" s="74">
        <v>99454</v>
      </c>
      <c r="B306" s="179" t="s">
        <v>881</v>
      </c>
      <c r="C306" s="74">
        <v>30019989</v>
      </c>
      <c r="D306" s="74" t="s">
        <v>881</v>
      </c>
      <c r="E306" s="174" t="s">
        <v>881</v>
      </c>
      <c r="F306" s="174" t="s">
        <v>335</v>
      </c>
      <c r="G306" s="174" t="s">
        <v>1068</v>
      </c>
      <c r="H306" s="174" t="s">
        <v>330</v>
      </c>
      <c r="I306" s="174" t="s">
        <v>1470</v>
      </c>
      <c r="J306" s="174" t="s">
        <v>11</v>
      </c>
      <c r="K306" s="174" t="s">
        <v>1072</v>
      </c>
      <c r="L306" s="174" t="s">
        <v>54</v>
      </c>
      <c r="M306" s="185" t="s">
        <v>73</v>
      </c>
      <c r="N306" s="174" t="s">
        <v>881</v>
      </c>
      <c r="O306" s="174" t="s">
        <v>485</v>
      </c>
      <c r="P306" s="174" t="s">
        <v>486</v>
      </c>
      <c r="Q306" s="174" t="s">
        <v>220</v>
      </c>
      <c r="R306" s="174" t="s">
        <v>1196</v>
      </c>
      <c r="S306" s="174" t="s">
        <v>881</v>
      </c>
      <c r="T306" s="174">
        <v>3</v>
      </c>
      <c r="U306" s="184"/>
    </row>
    <row r="307" spans="1:21" ht="20.100000000000001" customHeight="1" x14ac:dyDescent="0.2">
      <c r="A307" s="74">
        <v>99460</v>
      </c>
      <c r="B307" s="179" t="s">
        <v>881</v>
      </c>
      <c r="C307" s="74">
        <v>30019222</v>
      </c>
      <c r="D307" s="74" t="s">
        <v>881</v>
      </c>
      <c r="E307" s="174" t="s">
        <v>881</v>
      </c>
      <c r="F307" s="174" t="s">
        <v>335</v>
      </c>
      <c r="G307" s="174" t="s">
        <v>1047</v>
      </c>
      <c r="H307" s="174" t="s">
        <v>332</v>
      </c>
      <c r="I307" s="174" t="s">
        <v>957</v>
      </c>
      <c r="J307" s="174" t="s">
        <v>80</v>
      </c>
      <c r="K307" s="174" t="s">
        <v>1072</v>
      </c>
      <c r="L307" s="174">
        <v>20060246</v>
      </c>
      <c r="M307" s="174" t="s">
        <v>920</v>
      </c>
      <c r="N307" s="174" t="s">
        <v>255</v>
      </c>
      <c r="O307" s="174" t="s">
        <v>481</v>
      </c>
      <c r="P307" s="174" t="s">
        <v>482</v>
      </c>
      <c r="Q307" s="174" t="s">
        <v>412</v>
      </c>
      <c r="R307" s="174" t="s">
        <v>509</v>
      </c>
      <c r="S307" s="174" t="s">
        <v>881</v>
      </c>
      <c r="T307" s="174">
        <v>3</v>
      </c>
      <c r="U307" s="184"/>
    </row>
    <row r="308" spans="1:21" s="168" customFormat="1" ht="20.100000000000001" customHeight="1" x14ac:dyDescent="0.2">
      <c r="A308" s="188">
        <v>99464</v>
      </c>
      <c r="B308" s="189" t="s">
        <v>1347</v>
      </c>
      <c r="C308" s="171">
        <v>30021087</v>
      </c>
      <c r="D308" s="171">
        <v>30019324</v>
      </c>
      <c r="E308" s="168" t="s">
        <v>881</v>
      </c>
      <c r="F308" s="168" t="s">
        <v>10</v>
      </c>
      <c r="G308" s="168" t="s">
        <v>987</v>
      </c>
      <c r="H308" s="168" t="s">
        <v>628</v>
      </c>
      <c r="I308" s="168" t="s">
        <v>1463</v>
      </c>
      <c r="J308" s="168" t="s">
        <v>101</v>
      </c>
      <c r="K308" s="168" t="s">
        <v>334</v>
      </c>
      <c r="L308" s="168">
        <v>20060473</v>
      </c>
      <c r="M308" s="186" t="s">
        <v>73</v>
      </c>
      <c r="N308" s="168" t="s">
        <v>881</v>
      </c>
      <c r="O308" s="168" t="s">
        <v>1211</v>
      </c>
      <c r="P308" s="168" t="s">
        <v>482</v>
      </c>
      <c r="Q308" s="168" t="s">
        <v>412</v>
      </c>
      <c r="R308" s="168" t="s">
        <v>509</v>
      </c>
      <c r="S308" s="168" t="s">
        <v>881</v>
      </c>
      <c r="T308" s="168" t="s">
        <v>881</v>
      </c>
      <c r="U308" s="187"/>
    </row>
    <row r="309" spans="1:21" ht="20.100000000000001" customHeight="1" x14ac:dyDescent="0.2">
      <c r="A309" s="74">
        <v>99466</v>
      </c>
      <c r="B309" s="179" t="s">
        <v>881</v>
      </c>
      <c r="C309" s="74">
        <v>30019717</v>
      </c>
      <c r="D309" s="74" t="s">
        <v>881</v>
      </c>
      <c r="E309" s="174" t="s">
        <v>881</v>
      </c>
      <c r="F309" s="174" t="s">
        <v>21</v>
      </c>
      <c r="G309" s="174" t="s">
        <v>1047</v>
      </c>
      <c r="H309" s="174" t="s">
        <v>332</v>
      </c>
      <c r="I309" s="174" t="s">
        <v>1448</v>
      </c>
      <c r="J309" s="174" t="s">
        <v>26</v>
      </c>
      <c r="K309" s="174" t="s">
        <v>1072</v>
      </c>
      <c r="L309" s="174">
        <v>20058877</v>
      </c>
      <c r="M309" s="174" t="s">
        <v>41</v>
      </c>
      <c r="N309" s="174" t="s">
        <v>51</v>
      </c>
      <c r="O309" s="174" t="s">
        <v>395</v>
      </c>
      <c r="P309" s="174" t="s">
        <v>1510</v>
      </c>
      <c r="Q309" s="174" t="s">
        <v>396</v>
      </c>
      <c r="R309" s="174" t="s">
        <v>1196</v>
      </c>
      <c r="S309" s="174" t="s">
        <v>881</v>
      </c>
      <c r="T309" s="174">
        <v>1</v>
      </c>
      <c r="U309" s="184"/>
    </row>
    <row r="310" spans="1:21" s="168" customFormat="1" ht="20.100000000000001" customHeight="1" x14ac:dyDescent="0.2">
      <c r="A310" s="188">
        <v>99467</v>
      </c>
      <c r="B310" s="189" t="s">
        <v>1348</v>
      </c>
      <c r="C310" s="171">
        <v>30021059</v>
      </c>
      <c r="D310" s="171">
        <v>30019323</v>
      </c>
      <c r="E310" s="168" t="s">
        <v>881</v>
      </c>
      <c r="F310" s="168" t="s">
        <v>10</v>
      </c>
      <c r="G310" s="168" t="s">
        <v>1063</v>
      </c>
      <c r="H310" s="168" t="s">
        <v>330</v>
      </c>
      <c r="I310" s="168" t="s">
        <v>957</v>
      </c>
      <c r="J310" s="168" t="s">
        <v>80</v>
      </c>
      <c r="K310" s="168" t="s">
        <v>334</v>
      </c>
      <c r="L310" s="168">
        <v>20060473</v>
      </c>
      <c r="M310" s="186" t="s">
        <v>73</v>
      </c>
      <c r="N310" s="168" t="s">
        <v>881</v>
      </c>
      <c r="O310" s="168" t="s">
        <v>1129</v>
      </c>
      <c r="P310" s="168" t="s">
        <v>482</v>
      </c>
      <c r="Q310" s="168" t="s">
        <v>412</v>
      </c>
      <c r="R310" s="168" t="s">
        <v>509</v>
      </c>
      <c r="S310" s="168" t="s">
        <v>881</v>
      </c>
      <c r="T310" s="168" t="s">
        <v>881</v>
      </c>
      <c r="U310" s="187"/>
    </row>
    <row r="311" spans="1:21" s="168" customFormat="1" ht="20.100000000000001" customHeight="1" x14ac:dyDescent="0.2">
      <c r="A311" s="188">
        <v>99468</v>
      </c>
      <c r="B311" s="189" t="s">
        <v>1349</v>
      </c>
      <c r="C311" s="171">
        <v>30021058</v>
      </c>
      <c r="D311" s="171">
        <v>30019317</v>
      </c>
      <c r="E311" s="168" t="s">
        <v>881</v>
      </c>
      <c r="F311" s="168" t="s">
        <v>10</v>
      </c>
      <c r="G311" s="168" t="s">
        <v>987</v>
      </c>
      <c r="H311" s="168" t="s">
        <v>628</v>
      </c>
      <c r="I311" s="168" t="s">
        <v>1463</v>
      </c>
      <c r="J311" s="168" t="s">
        <v>101</v>
      </c>
      <c r="K311" s="168" t="s">
        <v>334</v>
      </c>
      <c r="L311" s="168">
        <v>20060255</v>
      </c>
      <c r="M311" s="168" t="s">
        <v>73</v>
      </c>
      <c r="N311" s="168" t="s">
        <v>680</v>
      </c>
      <c r="O311" s="168" t="s">
        <v>1130</v>
      </c>
      <c r="P311" s="168" t="s">
        <v>1210</v>
      </c>
      <c r="Q311" s="168" t="s">
        <v>396</v>
      </c>
      <c r="R311" s="168" t="s">
        <v>1196</v>
      </c>
      <c r="S311" s="168" t="s">
        <v>881</v>
      </c>
      <c r="T311" s="168" t="s">
        <v>881</v>
      </c>
      <c r="U311" s="187"/>
    </row>
    <row r="312" spans="1:21" s="168" customFormat="1" ht="20.100000000000001" customHeight="1" x14ac:dyDescent="0.2">
      <c r="A312" s="188">
        <v>99469</v>
      </c>
      <c r="B312" s="189" t="s">
        <v>1350</v>
      </c>
      <c r="C312" s="171">
        <v>30021057</v>
      </c>
      <c r="D312" s="171">
        <v>30019316</v>
      </c>
      <c r="E312" s="168" t="s">
        <v>881</v>
      </c>
      <c r="F312" s="168" t="s">
        <v>10</v>
      </c>
      <c r="G312" s="168" t="s">
        <v>1064</v>
      </c>
      <c r="H312" s="168" t="s">
        <v>336</v>
      </c>
      <c r="I312" s="168" t="s">
        <v>957</v>
      </c>
      <c r="J312" s="168" t="s">
        <v>80</v>
      </c>
      <c r="K312" s="168" t="s">
        <v>334</v>
      </c>
      <c r="L312" s="168">
        <v>20060470</v>
      </c>
      <c r="M312" s="186" t="s">
        <v>73</v>
      </c>
      <c r="N312" s="168" t="s">
        <v>680</v>
      </c>
      <c r="O312" s="168" t="s">
        <v>1121</v>
      </c>
      <c r="P312" s="168" t="s">
        <v>1210</v>
      </c>
      <c r="Q312" s="168" t="s">
        <v>396</v>
      </c>
      <c r="R312" s="168" t="s">
        <v>1196</v>
      </c>
      <c r="S312" s="168" t="s">
        <v>881</v>
      </c>
      <c r="T312" s="168" t="s">
        <v>881</v>
      </c>
      <c r="U312" s="187"/>
    </row>
    <row r="313" spans="1:21" ht="20.100000000000001" customHeight="1" x14ac:dyDescent="0.2">
      <c r="A313" s="74">
        <v>99471</v>
      </c>
      <c r="B313" s="179" t="s">
        <v>881</v>
      </c>
      <c r="C313" s="74">
        <v>30021195</v>
      </c>
      <c r="D313" s="74" t="s">
        <v>881</v>
      </c>
      <c r="E313" s="174" t="s">
        <v>881</v>
      </c>
      <c r="F313" s="174" t="s">
        <v>335</v>
      </c>
      <c r="G313" s="174" t="s">
        <v>1049</v>
      </c>
      <c r="H313" s="174" t="s">
        <v>329</v>
      </c>
      <c r="I313" s="174" t="s">
        <v>348</v>
      </c>
      <c r="J313" s="174" t="s">
        <v>349</v>
      </c>
      <c r="K313" s="174" t="s">
        <v>334</v>
      </c>
      <c r="L313" s="174">
        <v>20060376</v>
      </c>
      <c r="M313" s="174" t="s">
        <v>73</v>
      </c>
      <c r="N313" s="174" t="s">
        <v>887</v>
      </c>
      <c r="O313" s="174" t="s">
        <v>398</v>
      </c>
      <c r="P313" s="174" t="s">
        <v>399</v>
      </c>
      <c r="Q313" s="174" t="s">
        <v>207</v>
      </c>
      <c r="R313" s="174" t="s">
        <v>1196</v>
      </c>
      <c r="S313" s="174" t="s">
        <v>881</v>
      </c>
      <c r="T313" s="174" t="s">
        <v>633</v>
      </c>
      <c r="U313" s="184"/>
    </row>
    <row r="314" spans="1:21" ht="20.100000000000001" customHeight="1" x14ac:dyDescent="0.2">
      <c r="A314" s="74">
        <v>99479</v>
      </c>
      <c r="B314" s="179" t="s">
        <v>881</v>
      </c>
      <c r="C314" s="74">
        <v>30023027</v>
      </c>
      <c r="D314" s="74" t="s">
        <v>881</v>
      </c>
      <c r="E314" s="174" t="s">
        <v>881</v>
      </c>
      <c r="F314" s="174" t="s">
        <v>328</v>
      </c>
      <c r="G314" s="174" t="s">
        <v>1058</v>
      </c>
      <c r="H314" s="174" t="s">
        <v>329</v>
      </c>
      <c r="I314" s="174" t="s">
        <v>348</v>
      </c>
      <c r="J314" s="174" t="s">
        <v>349</v>
      </c>
      <c r="K314" s="174" t="s">
        <v>334</v>
      </c>
      <c r="L314" s="174">
        <v>20061820</v>
      </c>
      <c r="M314" s="185" t="s">
        <v>73</v>
      </c>
      <c r="N314" s="174" t="s">
        <v>889</v>
      </c>
      <c r="O314" s="174" t="s">
        <v>407</v>
      </c>
      <c r="P314" s="174" t="s">
        <v>405</v>
      </c>
      <c r="Q314" s="174" t="s">
        <v>406</v>
      </c>
      <c r="R314" s="174" t="s">
        <v>1196</v>
      </c>
      <c r="S314" s="174" t="s">
        <v>881</v>
      </c>
      <c r="T314" s="174">
        <v>4</v>
      </c>
      <c r="U314" s="184"/>
    </row>
    <row r="315" spans="1:21" ht="20.100000000000001" customHeight="1" x14ac:dyDescent="0.2">
      <c r="A315" s="74">
        <v>99480</v>
      </c>
      <c r="B315" s="179" t="s">
        <v>881</v>
      </c>
      <c r="C315" s="74">
        <v>30019125</v>
      </c>
      <c r="D315" s="74" t="s">
        <v>881</v>
      </c>
      <c r="E315" s="174" t="s">
        <v>881</v>
      </c>
      <c r="F315" s="174" t="s">
        <v>21</v>
      </c>
      <c r="G315" s="174" t="s">
        <v>1066</v>
      </c>
      <c r="H315" s="174" t="s">
        <v>332</v>
      </c>
      <c r="I315" s="202" t="s">
        <v>940</v>
      </c>
      <c r="J315" s="174" t="s">
        <v>253</v>
      </c>
      <c r="K315" s="174" t="s">
        <v>1072</v>
      </c>
      <c r="L315" s="174" t="s">
        <v>29</v>
      </c>
      <c r="M315" s="174" t="s">
        <v>41</v>
      </c>
      <c r="N315" s="174" t="s">
        <v>48</v>
      </c>
      <c r="O315" s="174" t="s">
        <v>379</v>
      </c>
      <c r="P315" s="174" t="s">
        <v>374</v>
      </c>
      <c r="Q315" s="174" t="s">
        <v>412</v>
      </c>
      <c r="R315" s="174" t="s">
        <v>509</v>
      </c>
      <c r="S315" s="174" t="s">
        <v>881</v>
      </c>
      <c r="T315" s="174">
        <v>1</v>
      </c>
      <c r="U315" s="184"/>
    </row>
    <row r="316" spans="1:21" ht="20.100000000000001" customHeight="1" x14ac:dyDescent="0.2">
      <c r="A316" s="74">
        <v>99490</v>
      </c>
      <c r="B316" s="179" t="s">
        <v>881</v>
      </c>
      <c r="C316" s="74">
        <v>30019223</v>
      </c>
      <c r="D316" s="74" t="s">
        <v>881</v>
      </c>
      <c r="E316" s="174" t="s">
        <v>881</v>
      </c>
      <c r="F316" s="174" t="s">
        <v>698</v>
      </c>
      <c r="G316" s="174" t="s">
        <v>1041</v>
      </c>
      <c r="H316" s="174" t="s">
        <v>332</v>
      </c>
      <c r="I316" s="174" t="s">
        <v>1446</v>
      </c>
      <c r="J316" s="174" t="s">
        <v>36</v>
      </c>
      <c r="K316" s="174" t="s">
        <v>1072</v>
      </c>
      <c r="L316" s="174">
        <v>20060246</v>
      </c>
      <c r="M316" s="174" t="s">
        <v>1228</v>
      </c>
      <c r="N316" s="174" t="s">
        <v>255</v>
      </c>
      <c r="O316" s="174" t="s">
        <v>483</v>
      </c>
      <c r="P316" s="174" t="s">
        <v>482</v>
      </c>
      <c r="Q316" s="174" t="s">
        <v>412</v>
      </c>
      <c r="R316" s="174" t="s">
        <v>509</v>
      </c>
      <c r="S316" s="174" t="s">
        <v>881</v>
      </c>
      <c r="T316" s="174">
        <v>3</v>
      </c>
      <c r="U316" s="184"/>
    </row>
    <row r="317" spans="1:21" ht="20.100000000000001" customHeight="1" x14ac:dyDescent="0.2">
      <c r="A317" s="74">
        <v>99495</v>
      </c>
      <c r="B317" s="179" t="s">
        <v>881</v>
      </c>
      <c r="C317" s="74">
        <v>30021203</v>
      </c>
      <c r="D317" s="74" t="s">
        <v>881</v>
      </c>
      <c r="E317" s="174" t="s">
        <v>881</v>
      </c>
      <c r="F317" s="174" t="s">
        <v>335</v>
      </c>
      <c r="G317" s="174" t="s">
        <v>1047</v>
      </c>
      <c r="H317" s="174" t="s">
        <v>332</v>
      </c>
      <c r="I317" s="174" t="s">
        <v>1446</v>
      </c>
      <c r="J317" s="174" t="s">
        <v>36</v>
      </c>
      <c r="K317" s="174" t="s">
        <v>334</v>
      </c>
      <c r="L317" s="174">
        <v>20061387</v>
      </c>
      <c r="M317" s="174" t="s">
        <v>915</v>
      </c>
      <c r="N317" s="174" t="s">
        <v>634</v>
      </c>
      <c r="O317" s="174" t="s">
        <v>391</v>
      </c>
      <c r="P317" s="174" t="s">
        <v>422</v>
      </c>
      <c r="Q317" s="174" t="s">
        <v>412</v>
      </c>
      <c r="R317" s="174" t="s">
        <v>509</v>
      </c>
      <c r="S317" s="174" t="s">
        <v>881</v>
      </c>
      <c r="T317" s="174">
        <v>3</v>
      </c>
      <c r="U317" s="184"/>
    </row>
    <row r="318" spans="1:21" ht="20.100000000000001" customHeight="1" x14ac:dyDescent="0.2">
      <c r="A318" s="74">
        <v>99499</v>
      </c>
      <c r="B318" s="179" t="s">
        <v>881</v>
      </c>
      <c r="C318" s="74" t="s">
        <v>948</v>
      </c>
      <c r="D318" s="74" t="s">
        <v>881</v>
      </c>
      <c r="E318" s="174" t="s">
        <v>881</v>
      </c>
      <c r="F318" s="174" t="s">
        <v>335</v>
      </c>
      <c r="G318" s="174" t="s">
        <v>1041</v>
      </c>
      <c r="H318" s="174" t="s">
        <v>332</v>
      </c>
      <c r="I318" s="174" t="s">
        <v>1446</v>
      </c>
      <c r="J318" s="174" t="s">
        <v>36</v>
      </c>
      <c r="K318" s="174" t="s">
        <v>1072</v>
      </c>
      <c r="L318" s="174">
        <v>20060947</v>
      </c>
      <c r="M318" s="185" t="s">
        <v>1009</v>
      </c>
      <c r="N318" s="174" t="s">
        <v>634</v>
      </c>
      <c r="O318" s="174" t="s">
        <v>391</v>
      </c>
      <c r="P318" s="174" t="s">
        <v>422</v>
      </c>
      <c r="Q318" s="174" t="s">
        <v>412</v>
      </c>
      <c r="R318" s="174" t="s">
        <v>509</v>
      </c>
      <c r="S318" s="174" t="s">
        <v>881</v>
      </c>
      <c r="T318" s="174">
        <v>3</v>
      </c>
      <c r="U318" s="184"/>
    </row>
    <row r="319" spans="1:21" s="168" customFormat="1" ht="20.100000000000001" customHeight="1" x14ac:dyDescent="0.2">
      <c r="A319" s="188">
        <v>99523</v>
      </c>
      <c r="B319" s="189" t="s">
        <v>1351</v>
      </c>
      <c r="C319" s="171">
        <v>30021101</v>
      </c>
      <c r="D319" s="171">
        <v>30019463</v>
      </c>
      <c r="E319" s="168" t="s">
        <v>881</v>
      </c>
      <c r="F319" s="168" t="s">
        <v>10</v>
      </c>
      <c r="G319" s="168" t="s">
        <v>1045</v>
      </c>
      <c r="H319" s="168" t="s">
        <v>330</v>
      </c>
      <c r="I319" s="168" t="s">
        <v>957</v>
      </c>
      <c r="J319" s="168" t="s">
        <v>80</v>
      </c>
      <c r="K319" s="168" t="s">
        <v>334</v>
      </c>
      <c r="L319" s="168">
        <v>20060855</v>
      </c>
      <c r="M319" s="186" t="s">
        <v>73</v>
      </c>
      <c r="N319" s="168" t="s">
        <v>79</v>
      </c>
      <c r="O319" s="168" t="s">
        <v>1020</v>
      </c>
      <c r="P319" s="168" t="s">
        <v>1139</v>
      </c>
      <c r="Q319" s="168" t="s">
        <v>220</v>
      </c>
      <c r="R319" s="168" t="s">
        <v>1196</v>
      </c>
      <c r="S319" s="168" t="s">
        <v>881</v>
      </c>
      <c r="T319" s="168" t="s">
        <v>881</v>
      </c>
      <c r="U319" s="187"/>
    </row>
    <row r="320" spans="1:21" ht="20.100000000000001" customHeight="1" x14ac:dyDescent="0.2">
      <c r="A320" s="74">
        <v>99525</v>
      </c>
      <c r="B320" s="179" t="s">
        <v>881</v>
      </c>
      <c r="C320" s="74">
        <v>30022770</v>
      </c>
      <c r="D320" s="74" t="s">
        <v>881</v>
      </c>
      <c r="E320" s="174" t="s">
        <v>881</v>
      </c>
      <c r="F320" s="174" t="s">
        <v>335</v>
      </c>
      <c r="G320" s="174" t="s">
        <v>1046</v>
      </c>
      <c r="H320" s="174" t="s">
        <v>329</v>
      </c>
      <c r="I320" s="174" t="s">
        <v>348</v>
      </c>
      <c r="J320" s="174" t="s">
        <v>349</v>
      </c>
      <c r="K320" s="174" t="s">
        <v>334</v>
      </c>
      <c r="L320" s="174">
        <v>20060376</v>
      </c>
      <c r="M320" s="185" t="s">
        <v>73</v>
      </c>
      <c r="N320" s="174" t="s">
        <v>889</v>
      </c>
      <c r="O320" s="174" t="s">
        <v>398</v>
      </c>
      <c r="P320" s="174" t="s">
        <v>399</v>
      </c>
      <c r="Q320" s="174" t="s">
        <v>207</v>
      </c>
      <c r="R320" s="174" t="s">
        <v>1196</v>
      </c>
      <c r="S320" s="174" t="s">
        <v>881</v>
      </c>
      <c r="T320" s="174" t="s">
        <v>633</v>
      </c>
      <c r="U320" s="184"/>
    </row>
    <row r="321" spans="1:21" ht="20.100000000000001" customHeight="1" x14ac:dyDescent="0.2">
      <c r="A321" s="74">
        <v>99526</v>
      </c>
      <c r="B321" s="179" t="s">
        <v>881</v>
      </c>
      <c r="C321" s="74">
        <v>30021822</v>
      </c>
      <c r="D321" s="74" t="s">
        <v>881</v>
      </c>
      <c r="E321" s="174" t="s">
        <v>881</v>
      </c>
      <c r="F321" s="174" t="s">
        <v>335</v>
      </c>
      <c r="G321" s="174" t="s">
        <v>1049</v>
      </c>
      <c r="H321" s="174" t="s">
        <v>329</v>
      </c>
      <c r="I321" s="174" t="s">
        <v>348</v>
      </c>
      <c r="J321" s="174" t="s">
        <v>349</v>
      </c>
      <c r="K321" s="174" t="s">
        <v>334</v>
      </c>
      <c r="L321" s="174">
        <v>20060376</v>
      </c>
      <c r="M321" s="174" t="s">
        <v>73</v>
      </c>
      <c r="N321" s="174" t="s">
        <v>887</v>
      </c>
      <c r="O321" s="174" t="s">
        <v>398</v>
      </c>
      <c r="P321" s="174" t="s">
        <v>399</v>
      </c>
      <c r="Q321" s="174" t="s">
        <v>207</v>
      </c>
      <c r="R321" s="174" t="s">
        <v>1196</v>
      </c>
      <c r="S321" s="174" t="s">
        <v>881</v>
      </c>
      <c r="T321" s="174" t="s">
        <v>633</v>
      </c>
      <c r="U321" s="184"/>
    </row>
    <row r="322" spans="1:21" ht="20.100000000000001" customHeight="1" x14ac:dyDescent="0.2">
      <c r="A322" s="74">
        <v>99530</v>
      </c>
      <c r="B322" s="179" t="s">
        <v>881</v>
      </c>
      <c r="C322" s="74">
        <v>30019990</v>
      </c>
      <c r="D322" s="74" t="s">
        <v>881</v>
      </c>
      <c r="E322" s="174" t="s">
        <v>881</v>
      </c>
      <c r="F322" s="174" t="s">
        <v>335</v>
      </c>
      <c r="G322" s="174" t="s">
        <v>1041</v>
      </c>
      <c r="H322" s="174" t="s">
        <v>332</v>
      </c>
      <c r="I322" s="174" t="s">
        <v>957</v>
      </c>
      <c r="J322" s="174" t="s">
        <v>80</v>
      </c>
      <c r="K322" s="174" t="s">
        <v>1072</v>
      </c>
      <c r="L322" s="174">
        <v>20060947</v>
      </c>
      <c r="M322" s="185" t="s">
        <v>1009</v>
      </c>
      <c r="N322" s="174" t="s">
        <v>634</v>
      </c>
      <c r="O322" s="174" t="s">
        <v>391</v>
      </c>
      <c r="P322" s="174" t="s">
        <v>422</v>
      </c>
      <c r="Q322" s="174" t="s">
        <v>412</v>
      </c>
      <c r="R322" s="174" t="s">
        <v>509</v>
      </c>
      <c r="S322" s="174" t="s">
        <v>881</v>
      </c>
      <c r="T322" s="174">
        <v>3</v>
      </c>
      <c r="U322" s="184"/>
    </row>
    <row r="323" spans="1:21" ht="20.100000000000001" customHeight="1" x14ac:dyDescent="0.2">
      <c r="A323" s="74">
        <v>99540</v>
      </c>
      <c r="B323" s="179" t="s">
        <v>881</v>
      </c>
      <c r="C323" s="74">
        <v>30019224</v>
      </c>
      <c r="D323" s="74" t="s">
        <v>881</v>
      </c>
      <c r="E323" s="174" t="s">
        <v>881</v>
      </c>
      <c r="F323" s="174" t="s">
        <v>335</v>
      </c>
      <c r="G323" s="174" t="s">
        <v>1047</v>
      </c>
      <c r="H323" s="174" t="s">
        <v>332</v>
      </c>
      <c r="I323" s="174" t="s">
        <v>1471</v>
      </c>
      <c r="J323" s="174" t="s">
        <v>37</v>
      </c>
      <c r="K323" s="174" t="s">
        <v>1072</v>
      </c>
      <c r="L323" s="185">
        <v>20060248</v>
      </c>
      <c r="M323" s="185" t="s">
        <v>41</v>
      </c>
      <c r="N323" s="174" t="s">
        <v>634</v>
      </c>
      <c r="O323" s="174" t="s">
        <v>391</v>
      </c>
      <c r="P323" s="174" t="s">
        <v>422</v>
      </c>
      <c r="Q323" s="174" t="s">
        <v>412</v>
      </c>
      <c r="R323" s="174" t="s">
        <v>509</v>
      </c>
      <c r="S323" s="174" t="s">
        <v>881</v>
      </c>
      <c r="T323" s="174">
        <v>3</v>
      </c>
      <c r="U323" s="184"/>
    </row>
    <row r="324" spans="1:21" ht="20.100000000000001" customHeight="1" x14ac:dyDescent="0.2">
      <c r="A324" s="74">
        <v>99543</v>
      </c>
      <c r="B324" s="179" t="s">
        <v>881</v>
      </c>
      <c r="C324" s="74">
        <v>30020376</v>
      </c>
      <c r="D324" s="74" t="s">
        <v>881</v>
      </c>
      <c r="E324" s="174" t="s">
        <v>872</v>
      </c>
      <c r="F324" s="174" t="s">
        <v>671</v>
      </c>
      <c r="G324" s="174" t="s">
        <v>1058</v>
      </c>
      <c r="H324" s="174" t="s">
        <v>329</v>
      </c>
      <c r="I324" s="174" t="s">
        <v>348</v>
      </c>
      <c r="J324" s="174" t="s">
        <v>349</v>
      </c>
      <c r="K324" s="174" t="s">
        <v>334</v>
      </c>
      <c r="L324" s="174">
        <v>20060376</v>
      </c>
      <c r="M324" s="185" t="s">
        <v>73</v>
      </c>
      <c r="N324" s="174" t="s">
        <v>881</v>
      </c>
      <c r="O324" s="174" t="s">
        <v>398</v>
      </c>
      <c r="P324" s="174" t="s">
        <v>399</v>
      </c>
      <c r="Q324" s="174" t="s">
        <v>207</v>
      </c>
      <c r="R324" s="174" t="s">
        <v>1196</v>
      </c>
      <c r="S324" s="174" t="s">
        <v>881</v>
      </c>
      <c r="T324" s="174" t="s">
        <v>633</v>
      </c>
      <c r="U324" s="184"/>
    </row>
    <row r="325" spans="1:21" ht="20.100000000000001" customHeight="1" x14ac:dyDescent="0.2">
      <c r="A325" s="74">
        <v>99544</v>
      </c>
      <c r="B325" s="179" t="s">
        <v>881</v>
      </c>
      <c r="C325" s="74">
        <v>30019718</v>
      </c>
      <c r="D325" s="74" t="s">
        <v>881</v>
      </c>
      <c r="E325" s="174" t="s">
        <v>881</v>
      </c>
      <c r="F325" s="174" t="s">
        <v>335</v>
      </c>
      <c r="G325" s="174" t="s">
        <v>1041</v>
      </c>
      <c r="H325" s="174" t="s">
        <v>332</v>
      </c>
      <c r="I325" s="174" t="s">
        <v>957</v>
      </c>
      <c r="J325" s="174" t="s">
        <v>80</v>
      </c>
      <c r="K325" s="174" t="s">
        <v>1072</v>
      </c>
      <c r="L325" s="174">
        <v>20060947</v>
      </c>
      <c r="M325" s="185" t="s">
        <v>1009</v>
      </c>
      <c r="N325" s="174" t="s">
        <v>634</v>
      </c>
      <c r="O325" s="174" t="s">
        <v>391</v>
      </c>
      <c r="P325" s="174" t="s">
        <v>422</v>
      </c>
      <c r="Q325" s="174" t="s">
        <v>412</v>
      </c>
      <c r="R325" s="174" t="s">
        <v>509</v>
      </c>
      <c r="S325" s="174" t="s">
        <v>881</v>
      </c>
      <c r="T325" s="174">
        <v>3</v>
      </c>
      <c r="U325" s="184"/>
    </row>
    <row r="326" spans="1:21" ht="20.100000000000001" customHeight="1" x14ac:dyDescent="0.2">
      <c r="A326" s="74">
        <v>99554</v>
      </c>
      <c r="B326" s="179" t="s">
        <v>881</v>
      </c>
      <c r="C326" s="74">
        <v>30019719</v>
      </c>
      <c r="D326" s="74" t="s">
        <v>881</v>
      </c>
      <c r="E326" s="174" t="s">
        <v>881</v>
      </c>
      <c r="F326" s="174" t="s">
        <v>335</v>
      </c>
      <c r="G326" s="174" t="s">
        <v>1063</v>
      </c>
      <c r="H326" s="174" t="s">
        <v>332</v>
      </c>
      <c r="I326" s="174" t="s">
        <v>1446</v>
      </c>
      <c r="J326" s="174" t="s">
        <v>36</v>
      </c>
      <c r="K326" s="174" t="s">
        <v>1072</v>
      </c>
      <c r="L326" s="174">
        <v>20059189</v>
      </c>
      <c r="M326" s="174" t="s">
        <v>41</v>
      </c>
      <c r="N326" s="174" t="s">
        <v>881</v>
      </c>
      <c r="O326" s="174" t="s">
        <v>881</v>
      </c>
      <c r="P326" s="174" t="s">
        <v>482</v>
      </c>
      <c r="Q326" s="174" t="s">
        <v>412</v>
      </c>
      <c r="R326" s="174" t="s">
        <v>509</v>
      </c>
      <c r="S326" s="174" t="s">
        <v>881</v>
      </c>
      <c r="T326" s="174">
        <v>3</v>
      </c>
      <c r="U326" s="184"/>
    </row>
    <row r="327" spans="1:21" ht="20.100000000000001" customHeight="1" x14ac:dyDescent="0.2">
      <c r="A327" s="74">
        <v>99556</v>
      </c>
      <c r="B327" s="179" t="s">
        <v>881</v>
      </c>
      <c r="C327" s="74">
        <v>30023886</v>
      </c>
      <c r="D327" s="74" t="s">
        <v>881</v>
      </c>
      <c r="E327" s="174" t="s">
        <v>871</v>
      </c>
      <c r="F327" s="174" t="s">
        <v>335</v>
      </c>
      <c r="G327" s="174" t="s">
        <v>987</v>
      </c>
      <c r="H327" s="174" t="s">
        <v>326</v>
      </c>
      <c r="I327" s="174" t="s">
        <v>536</v>
      </c>
      <c r="J327" s="174" t="s">
        <v>93</v>
      </c>
      <c r="K327" s="174" t="s">
        <v>334</v>
      </c>
      <c r="L327" s="174" t="s">
        <v>537</v>
      </c>
      <c r="M327" s="185" t="s">
        <v>73</v>
      </c>
      <c r="N327" s="174" t="s">
        <v>538</v>
      </c>
      <c r="O327" s="174" t="s">
        <v>539</v>
      </c>
      <c r="P327" s="174" t="s">
        <v>733</v>
      </c>
      <c r="Q327" s="174" t="s">
        <v>489</v>
      </c>
      <c r="R327" s="174" t="s">
        <v>1196</v>
      </c>
      <c r="S327" s="174" t="s">
        <v>881</v>
      </c>
      <c r="T327" s="174">
        <v>3</v>
      </c>
      <c r="U327" s="184"/>
    </row>
    <row r="328" spans="1:21" ht="20.100000000000001" customHeight="1" x14ac:dyDescent="0.2">
      <c r="A328" s="74">
        <v>99560</v>
      </c>
      <c r="B328" s="179" t="s">
        <v>881</v>
      </c>
      <c r="C328" s="74">
        <v>30019730</v>
      </c>
      <c r="D328" s="74" t="s">
        <v>881</v>
      </c>
      <c r="E328" s="174" t="s">
        <v>881</v>
      </c>
      <c r="F328" s="174" t="s">
        <v>335</v>
      </c>
      <c r="G328" s="174" t="s">
        <v>1041</v>
      </c>
      <c r="H328" s="174" t="s">
        <v>332</v>
      </c>
      <c r="I328" s="174" t="s">
        <v>957</v>
      </c>
      <c r="J328" s="174" t="s">
        <v>80</v>
      </c>
      <c r="K328" s="174" t="s">
        <v>1072</v>
      </c>
      <c r="L328" s="174">
        <v>20060947</v>
      </c>
      <c r="M328" s="185" t="s">
        <v>1224</v>
      </c>
      <c r="N328" s="174" t="s">
        <v>1225</v>
      </c>
      <c r="O328" s="174" t="s">
        <v>391</v>
      </c>
      <c r="P328" s="174" t="s">
        <v>422</v>
      </c>
      <c r="Q328" s="174" t="s">
        <v>412</v>
      </c>
      <c r="R328" s="174" t="s">
        <v>509</v>
      </c>
      <c r="S328" s="174" t="s">
        <v>881</v>
      </c>
      <c r="T328" s="174">
        <v>3</v>
      </c>
      <c r="U328" s="184"/>
    </row>
    <row r="329" spans="1:21" ht="20.100000000000001" customHeight="1" x14ac:dyDescent="0.2">
      <c r="A329" s="74">
        <v>99566</v>
      </c>
      <c r="B329" s="179" t="s">
        <v>881</v>
      </c>
      <c r="C329" s="74">
        <v>30021204</v>
      </c>
      <c r="D329" s="74" t="s">
        <v>881</v>
      </c>
      <c r="E329" s="174" t="s">
        <v>881</v>
      </c>
      <c r="F329" s="174" t="s">
        <v>699</v>
      </c>
      <c r="G329" s="174" t="s">
        <v>1058</v>
      </c>
      <c r="H329" s="174" t="s">
        <v>329</v>
      </c>
      <c r="I329" s="174" t="s">
        <v>348</v>
      </c>
      <c r="J329" s="174" t="s">
        <v>349</v>
      </c>
      <c r="K329" s="174" t="s">
        <v>1072</v>
      </c>
      <c r="L329" s="174">
        <v>20059110</v>
      </c>
      <c r="M329" s="185" t="s">
        <v>73</v>
      </c>
      <c r="N329" s="174" t="s">
        <v>65</v>
      </c>
      <c r="O329" s="174" t="s">
        <v>493</v>
      </c>
      <c r="P329" s="174" t="s">
        <v>1497</v>
      </c>
      <c r="Q329" s="174" t="s">
        <v>508</v>
      </c>
      <c r="R329" s="174" t="s">
        <v>1196</v>
      </c>
      <c r="S329" s="174" t="s">
        <v>881</v>
      </c>
      <c r="T329" s="174" t="s">
        <v>881</v>
      </c>
      <c r="U329" s="184"/>
    </row>
    <row r="330" spans="1:21" ht="20.100000000000001" customHeight="1" x14ac:dyDescent="0.2">
      <c r="A330" s="74">
        <v>99570</v>
      </c>
      <c r="B330" s="179" t="s">
        <v>881</v>
      </c>
      <c r="C330" s="74">
        <v>30019986</v>
      </c>
      <c r="D330" s="74" t="s">
        <v>881</v>
      </c>
      <c r="E330" s="174" t="s">
        <v>881</v>
      </c>
      <c r="F330" s="174" t="s">
        <v>335</v>
      </c>
      <c r="G330" s="174" t="s">
        <v>1047</v>
      </c>
      <c r="H330" s="174" t="s">
        <v>329</v>
      </c>
      <c r="I330" s="174" t="s">
        <v>1440</v>
      </c>
      <c r="J330" s="174" t="s">
        <v>16</v>
      </c>
      <c r="K330" s="174" t="s">
        <v>1072</v>
      </c>
      <c r="L330" s="174">
        <v>20060120</v>
      </c>
      <c r="M330" s="174" t="s">
        <v>915</v>
      </c>
      <c r="N330" s="174" t="s">
        <v>531</v>
      </c>
      <c r="O330" s="174" t="s">
        <v>417</v>
      </c>
      <c r="P330" s="174" t="s">
        <v>416</v>
      </c>
      <c r="Q330" s="174" t="s">
        <v>406</v>
      </c>
      <c r="R330" s="174" t="s">
        <v>1196</v>
      </c>
      <c r="S330" s="174" t="s">
        <v>881</v>
      </c>
      <c r="T330" s="174">
        <v>4</v>
      </c>
      <c r="U330" s="184"/>
    </row>
    <row r="331" spans="1:21" ht="20.100000000000001" customHeight="1" x14ac:dyDescent="0.2">
      <c r="A331" s="74">
        <v>99574</v>
      </c>
      <c r="B331" s="179" t="s">
        <v>881</v>
      </c>
      <c r="C331" s="74">
        <v>30022456</v>
      </c>
      <c r="D331" s="74" t="s">
        <v>881</v>
      </c>
      <c r="E331" s="174" t="s">
        <v>881</v>
      </c>
      <c r="F331" s="174" t="s">
        <v>335</v>
      </c>
      <c r="G331" s="174" t="s">
        <v>1041</v>
      </c>
      <c r="H331" s="174" t="s">
        <v>330</v>
      </c>
      <c r="I331" s="174" t="s">
        <v>1472</v>
      </c>
      <c r="J331" s="174" t="s">
        <v>98</v>
      </c>
      <c r="K331" s="174" t="s">
        <v>334</v>
      </c>
      <c r="L331" s="174">
        <v>20061170</v>
      </c>
      <c r="M331" s="185" t="s">
        <v>73</v>
      </c>
      <c r="N331" s="174" t="s">
        <v>881</v>
      </c>
      <c r="O331" s="174" t="s">
        <v>449</v>
      </c>
      <c r="P331" s="174" t="s">
        <v>450</v>
      </c>
      <c r="Q331" s="174" t="s">
        <v>396</v>
      </c>
      <c r="R331" s="174" t="s">
        <v>1196</v>
      </c>
      <c r="S331" s="174" t="s">
        <v>881</v>
      </c>
      <c r="T331" s="174">
        <v>1</v>
      </c>
      <c r="U331" s="184"/>
    </row>
    <row r="332" spans="1:21" ht="20.100000000000001" customHeight="1" x14ac:dyDescent="0.2">
      <c r="A332" s="74">
        <v>99576</v>
      </c>
      <c r="B332" s="179" t="s">
        <v>881</v>
      </c>
      <c r="C332" s="74">
        <v>30022647</v>
      </c>
      <c r="D332" s="74" t="s">
        <v>881</v>
      </c>
      <c r="E332" s="174" t="s">
        <v>881</v>
      </c>
      <c r="F332" s="174" t="s">
        <v>335</v>
      </c>
      <c r="G332" s="174" t="s">
        <v>1045</v>
      </c>
      <c r="H332" s="174" t="s">
        <v>330</v>
      </c>
      <c r="I332" s="174" t="s">
        <v>1472</v>
      </c>
      <c r="J332" s="174" t="s">
        <v>98</v>
      </c>
      <c r="K332" s="174" t="s">
        <v>334</v>
      </c>
      <c r="L332" s="174">
        <v>20061170</v>
      </c>
      <c r="M332" s="185" t="s">
        <v>73</v>
      </c>
      <c r="N332" s="174" t="s">
        <v>881</v>
      </c>
      <c r="O332" s="174" t="s">
        <v>449</v>
      </c>
      <c r="P332" s="174" t="s">
        <v>450</v>
      </c>
      <c r="Q332" s="174" t="s">
        <v>396</v>
      </c>
      <c r="R332" s="174" t="s">
        <v>1196</v>
      </c>
      <c r="S332" s="174" t="s">
        <v>881</v>
      </c>
      <c r="T332" s="174">
        <v>1</v>
      </c>
      <c r="U332" s="184"/>
    </row>
    <row r="333" spans="1:21" ht="20.100000000000001" customHeight="1" x14ac:dyDescent="0.2">
      <c r="A333" s="74">
        <v>99580</v>
      </c>
      <c r="B333" s="179" t="s">
        <v>881</v>
      </c>
      <c r="C333" s="74">
        <v>30019991</v>
      </c>
      <c r="D333" s="74" t="s">
        <v>881</v>
      </c>
      <c r="E333" s="174" t="s">
        <v>881</v>
      </c>
      <c r="F333" s="174" t="s">
        <v>335</v>
      </c>
      <c r="G333" s="174" t="s">
        <v>1047</v>
      </c>
      <c r="H333" s="174" t="s">
        <v>332</v>
      </c>
      <c r="I333" s="174" t="s">
        <v>1471</v>
      </c>
      <c r="J333" s="174" t="s">
        <v>37</v>
      </c>
      <c r="K333" s="174" t="s">
        <v>334</v>
      </c>
      <c r="L333" s="174">
        <v>20061387</v>
      </c>
      <c r="M333" s="185" t="s">
        <v>915</v>
      </c>
      <c r="N333" s="174" t="s">
        <v>634</v>
      </c>
      <c r="O333" s="174" t="s">
        <v>391</v>
      </c>
      <c r="P333" s="174" t="s">
        <v>422</v>
      </c>
      <c r="Q333" s="174" t="s">
        <v>412</v>
      </c>
      <c r="R333" s="174" t="s">
        <v>509</v>
      </c>
      <c r="S333" s="174" t="s">
        <v>881</v>
      </c>
      <c r="T333" s="174">
        <v>3</v>
      </c>
      <c r="U333" s="184"/>
    </row>
    <row r="334" spans="1:21" ht="20.100000000000001" customHeight="1" x14ac:dyDescent="0.2">
      <c r="A334" s="74">
        <v>99585</v>
      </c>
      <c r="B334" s="179" t="s">
        <v>881</v>
      </c>
      <c r="C334" s="74">
        <v>30019992</v>
      </c>
      <c r="D334" s="74" t="s">
        <v>881</v>
      </c>
      <c r="E334" s="174" t="s">
        <v>881</v>
      </c>
      <c r="F334" s="174" t="s">
        <v>335</v>
      </c>
      <c r="G334" s="174" t="s">
        <v>1063</v>
      </c>
      <c r="H334" s="174" t="s">
        <v>332</v>
      </c>
      <c r="I334" s="174" t="s">
        <v>957</v>
      </c>
      <c r="J334" s="174" t="s">
        <v>80</v>
      </c>
      <c r="K334" s="174" t="s">
        <v>1072</v>
      </c>
      <c r="L334" s="174">
        <v>20059189</v>
      </c>
      <c r="M334" s="174" t="s">
        <v>41</v>
      </c>
      <c r="N334" s="174" t="s">
        <v>255</v>
      </c>
      <c r="O334" s="174" t="s">
        <v>481</v>
      </c>
      <c r="P334" s="174" t="s">
        <v>482</v>
      </c>
      <c r="Q334" s="174" t="s">
        <v>412</v>
      </c>
      <c r="R334" s="174" t="s">
        <v>509</v>
      </c>
      <c r="S334" s="174" t="s">
        <v>881</v>
      </c>
      <c r="T334" s="174">
        <v>3</v>
      </c>
      <c r="U334" s="184"/>
    </row>
    <row r="335" spans="1:21" ht="20.100000000000001" customHeight="1" x14ac:dyDescent="0.2">
      <c r="A335" s="74">
        <v>99590</v>
      </c>
      <c r="B335" s="179" t="s">
        <v>881</v>
      </c>
      <c r="C335" s="74">
        <v>30020397</v>
      </c>
      <c r="D335" s="74" t="s">
        <v>881</v>
      </c>
      <c r="E335" s="174" t="s">
        <v>881</v>
      </c>
      <c r="F335" s="174" t="s">
        <v>58</v>
      </c>
      <c r="G335" s="174" t="s">
        <v>1058</v>
      </c>
      <c r="H335" s="174" t="s">
        <v>329</v>
      </c>
      <c r="I335" s="174" t="s">
        <v>348</v>
      </c>
      <c r="J335" s="174" t="s">
        <v>349</v>
      </c>
      <c r="K335" s="174" t="s">
        <v>334</v>
      </c>
      <c r="L335" s="174">
        <v>20060376</v>
      </c>
      <c r="M335" s="174" t="s">
        <v>73</v>
      </c>
      <c r="N335" s="174" t="s">
        <v>897</v>
      </c>
      <c r="O335" s="174" t="s">
        <v>398</v>
      </c>
      <c r="P335" s="174" t="s">
        <v>399</v>
      </c>
      <c r="Q335" s="174" t="s">
        <v>207</v>
      </c>
      <c r="R335" s="174" t="s">
        <v>1196</v>
      </c>
      <c r="S335" s="174" t="s">
        <v>881</v>
      </c>
      <c r="T335" s="174" t="s">
        <v>633</v>
      </c>
      <c r="U335" s="184"/>
    </row>
    <row r="336" spans="1:21" ht="20.100000000000001" customHeight="1" x14ac:dyDescent="0.2">
      <c r="A336" s="74">
        <v>99595</v>
      </c>
      <c r="B336" s="179" t="s">
        <v>881</v>
      </c>
      <c r="C336" s="74">
        <v>30020164</v>
      </c>
      <c r="D336" s="74" t="s">
        <v>881</v>
      </c>
      <c r="E336" s="174" t="s">
        <v>881</v>
      </c>
      <c r="F336" s="174" t="s">
        <v>58</v>
      </c>
      <c r="G336" s="174" t="s">
        <v>1058</v>
      </c>
      <c r="H336" s="174" t="s">
        <v>329</v>
      </c>
      <c r="I336" s="174" t="s">
        <v>348</v>
      </c>
      <c r="J336" s="174" t="s">
        <v>349</v>
      </c>
      <c r="K336" s="174" t="s">
        <v>1072</v>
      </c>
      <c r="L336" s="174">
        <v>20061630</v>
      </c>
      <c r="M336" s="174" t="s">
        <v>73</v>
      </c>
      <c r="N336" s="174" t="s">
        <v>64</v>
      </c>
      <c r="O336" s="174" t="s">
        <v>400</v>
      </c>
      <c r="P336" s="174" t="s">
        <v>399</v>
      </c>
      <c r="Q336" s="174" t="s">
        <v>207</v>
      </c>
      <c r="R336" s="174" t="s">
        <v>1196</v>
      </c>
      <c r="S336" s="174" t="s">
        <v>881</v>
      </c>
      <c r="T336" s="174" t="s">
        <v>633</v>
      </c>
      <c r="U336" s="184"/>
    </row>
    <row r="337" spans="1:21" s="170" customFormat="1" ht="20.100000000000001" customHeight="1" x14ac:dyDescent="0.2">
      <c r="A337" s="169">
        <v>99597</v>
      </c>
      <c r="B337" s="180" t="s">
        <v>881</v>
      </c>
      <c r="C337" s="169">
        <v>30022899</v>
      </c>
      <c r="D337" s="169" t="s">
        <v>881</v>
      </c>
      <c r="E337" s="170" t="s">
        <v>881</v>
      </c>
      <c r="F337" s="170" t="s">
        <v>21</v>
      </c>
      <c r="G337" s="170" t="s">
        <v>1058</v>
      </c>
      <c r="H337" s="170" t="s">
        <v>329</v>
      </c>
      <c r="I337" s="170" t="s">
        <v>348</v>
      </c>
      <c r="J337" s="170" t="s">
        <v>349</v>
      </c>
      <c r="K337" s="170" t="s">
        <v>334</v>
      </c>
      <c r="L337" s="170">
        <v>20062264</v>
      </c>
      <c r="M337" s="170" t="s">
        <v>73</v>
      </c>
      <c r="N337" s="170" t="s">
        <v>255</v>
      </c>
      <c r="O337" s="170" t="s">
        <v>389</v>
      </c>
      <c r="P337" s="170" t="s">
        <v>720</v>
      </c>
      <c r="Q337" s="170" t="s">
        <v>721</v>
      </c>
      <c r="R337" s="170" t="s">
        <v>509</v>
      </c>
      <c r="S337" s="170" t="s">
        <v>881</v>
      </c>
      <c r="T337" s="170">
        <v>4</v>
      </c>
      <c r="U337" s="207"/>
    </row>
    <row r="338" spans="1:21" ht="20.100000000000001" customHeight="1" x14ac:dyDescent="0.2">
      <c r="A338" s="74">
        <v>99599</v>
      </c>
      <c r="B338" s="179" t="s">
        <v>881</v>
      </c>
      <c r="C338" s="74">
        <v>30020537</v>
      </c>
      <c r="D338" s="74" t="s">
        <v>881</v>
      </c>
      <c r="E338" s="174" t="s">
        <v>881</v>
      </c>
      <c r="F338" s="174" t="s">
        <v>58</v>
      </c>
      <c r="G338" s="174" t="s">
        <v>1049</v>
      </c>
      <c r="H338" s="174" t="s">
        <v>329</v>
      </c>
      <c r="I338" s="174" t="s">
        <v>348</v>
      </c>
      <c r="J338" s="174" t="s">
        <v>349</v>
      </c>
      <c r="K338" s="174" t="s">
        <v>334</v>
      </c>
      <c r="L338" s="174">
        <v>20060376</v>
      </c>
      <c r="M338" s="174" t="s">
        <v>73</v>
      </c>
      <c r="N338" s="174" t="s">
        <v>898</v>
      </c>
      <c r="O338" s="174" t="s">
        <v>400</v>
      </c>
      <c r="P338" s="174" t="s">
        <v>399</v>
      </c>
      <c r="Q338" s="174" t="s">
        <v>207</v>
      </c>
      <c r="R338" s="174" t="s">
        <v>1196</v>
      </c>
      <c r="S338" s="174" t="s">
        <v>881</v>
      </c>
      <c r="T338" s="174" t="s">
        <v>633</v>
      </c>
      <c r="U338" s="184"/>
    </row>
    <row r="339" spans="1:21" ht="20.100000000000001" customHeight="1" x14ac:dyDescent="0.2">
      <c r="A339" s="74">
        <v>99602</v>
      </c>
      <c r="B339" s="179" t="s">
        <v>881</v>
      </c>
      <c r="C339" s="74">
        <v>30021778</v>
      </c>
      <c r="D339" s="74" t="s">
        <v>881</v>
      </c>
      <c r="E339" s="174" t="s">
        <v>881</v>
      </c>
      <c r="F339" s="174" t="s">
        <v>335</v>
      </c>
      <c r="G339" s="174" t="s">
        <v>1061</v>
      </c>
      <c r="H339" s="174" t="s">
        <v>329</v>
      </c>
      <c r="I339" s="174" t="s">
        <v>1454</v>
      </c>
      <c r="J339" s="174" t="s">
        <v>19</v>
      </c>
      <c r="K339" s="174" t="s">
        <v>96</v>
      </c>
      <c r="L339" s="174" t="s">
        <v>97</v>
      </c>
      <c r="M339" s="174" t="s">
        <v>97</v>
      </c>
      <c r="N339" s="174" t="s">
        <v>97</v>
      </c>
      <c r="O339" s="174" t="s">
        <v>402</v>
      </c>
      <c r="P339" s="174" t="s">
        <v>364</v>
      </c>
      <c r="Q339" s="174" t="s">
        <v>403</v>
      </c>
      <c r="R339" s="174" t="s">
        <v>1196</v>
      </c>
      <c r="S339" s="174" t="s">
        <v>881</v>
      </c>
      <c r="T339" s="174" t="s">
        <v>632</v>
      </c>
      <c r="U339" s="184"/>
    </row>
    <row r="340" spans="1:21" ht="20.100000000000001" customHeight="1" x14ac:dyDescent="0.2">
      <c r="A340" s="74">
        <v>99610</v>
      </c>
      <c r="B340" s="179" t="s">
        <v>881</v>
      </c>
      <c r="C340" s="74">
        <v>30019993</v>
      </c>
      <c r="D340" s="74" t="s">
        <v>881</v>
      </c>
      <c r="E340" s="174" t="s">
        <v>881</v>
      </c>
      <c r="F340" s="174" t="s">
        <v>335</v>
      </c>
      <c r="G340" s="174" t="s">
        <v>1041</v>
      </c>
      <c r="H340" s="174" t="s">
        <v>332</v>
      </c>
      <c r="I340" s="174" t="s">
        <v>957</v>
      </c>
      <c r="J340" s="174" t="s">
        <v>80</v>
      </c>
      <c r="K340" s="174" t="s">
        <v>334</v>
      </c>
      <c r="L340" s="174">
        <v>20061387</v>
      </c>
      <c r="M340" s="185" t="s">
        <v>915</v>
      </c>
      <c r="N340" s="174" t="s">
        <v>634</v>
      </c>
      <c r="O340" s="174" t="s">
        <v>391</v>
      </c>
      <c r="P340" s="174" t="s">
        <v>422</v>
      </c>
      <c r="Q340" s="174" t="s">
        <v>412</v>
      </c>
      <c r="R340" s="174" t="s">
        <v>509</v>
      </c>
      <c r="S340" s="174" t="s">
        <v>881</v>
      </c>
      <c r="T340" s="174">
        <v>3</v>
      </c>
      <c r="U340" s="184"/>
    </row>
    <row r="341" spans="1:21" ht="20.100000000000001" customHeight="1" x14ac:dyDescent="0.2">
      <c r="A341" s="74">
        <v>99613</v>
      </c>
      <c r="B341" s="179" t="s">
        <v>881</v>
      </c>
      <c r="C341" s="74">
        <v>30019722</v>
      </c>
      <c r="D341" s="74" t="s">
        <v>881</v>
      </c>
      <c r="E341" s="174" t="s">
        <v>881</v>
      </c>
      <c r="F341" s="174" t="s">
        <v>699</v>
      </c>
      <c r="G341" s="174" t="s">
        <v>1049</v>
      </c>
      <c r="H341" s="174" t="s">
        <v>590</v>
      </c>
      <c r="I341" s="174" t="s">
        <v>1449</v>
      </c>
      <c r="J341" s="174" t="s">
        <v>53</v>
      </c>
      <c r="K341" s="174" t="s">
        <v>334</v>
      </c>
      <c r="L341" s="174">
        <v>20061369</v>
      </c>
      <c r="M341" s="185" t="s">
        <v>73</v>
      </c>
      <c r="N341" s="174" t="s">
        <v>881</v>
      </c>
      <c r="O341" s="174" t="s">
        <v>498</v>
      </c>
      <c r="P341" s="174" t="s">
        <v>499</v>
      </c>
      <c r="Q341" s="174" t="s">
        <v>507</v>
      </c>
      <c r="R341" s="174" t="s">
        <v>1196</v>
      </c>
      <c r="S341" s="174" t="s">
        <v>881</v>
      </c>
      <c r="T341" s="174">
        <v>2</v>
      </c>
      <c r="U341" s="184"/>
    </row>
    <row r="342" spans="1:21" ht="20.100000000000001" customHeight="1" x14ac:dyDescent="0.2">
      <c r="A342" s="74">
        <v>99615</v>
      </c>
      <c r="B342" s="179" t="s">
        <v>881</v>
      </c>
      <c r="C342" s="74">
        <v>30020398</v>
      </c>
      <c r="D342" s="74" t="s">
        <v>881</v>
      </c>
      <c r="E342" s="174" t="s">
        <v>881</v>
      </c>
      <c r="F342" s="174" t="s">
        <v>335</v>
      </c>
      <c r="G342" s="174" t="s">
        <v>987</v>
      </c>
      <c r="H342" s="174" t="s">
        <v>336</v>
      </c>
      <c r="I342" s="174" t="s">
        <v>1471</v>
      </c>
      <c r="J342" s="174" t="s">
        <v>37</v>
      </c>
      <c r="K342" s="174" t="s">
        <v>334</v>
      </c>
      <c r="L342" s="174">
        <v>20061113</v>
      </c>
      <c r="M342" s="185" t="s">
        <v>73</v>
      </c>
      <c r="N342" s="174" t="s">
        <v>634</v>
      </c>
      <c r="O342" s="174" t="s">
        <v>451</v>
      </c>
      <c r="P342" s="174" t="s">
        <v>422</v>
      </c>
      <c r="Q342" s="174" t="s">
        <v>412</v>
      </c>
      <c r="R342" s="174" t="s">
        <v>509</v>
      </c>
      <c r="S342" s="174" t="s">
        <v>881</v>
      </c>
      <c r="T342" s="174">
        <v>3</v>
      </c>
      <c r="U342" s="184"/>
    </row>
    <row r="343" spans="1:21" ht="20.100000000000001" customHeight="1" x14ac:dyDescent="0.2">
      <c r="A343" s="74">
        <v>99620</v>
      </c>
      <c r="B343" s="179" t="s">
        <v>881</v>
      </c>
      <c r="C343" s="74">
        <v>30020536</v>
      </c>
      <c r="D343" s="74" t="s">
        <v>881</v>
      </c>
      <c r="E343" s="174" t="s">
        <v>881</v>
      </c>
      <c r="F343" s="174" t="s">
        <v>335</v>
      </c>
      <c r="G343" s="174" t="s">
        <v>987</v>
      </c>
      <c r="H343" s="174" t="s">
        <v>336</v>
      </c>
      <c r="I343" s="174" t="s">
        <v>1473</v>
      </c>
      <c r="J343" s="174" t="s">
        <v>62</v>
      </c>
      <c r="K343" s="174" t="s">
        <v>334</v>
      </c>
      <c r="L343" s="174">
        <v>20061387</v>
      </c>
      <c r="M343" s="185" t="s">
        <v>915</v>
      </c>
      <c r="N343" s="174" t="s">
        <v>667</v>
      </c>
      <c r="O343" s="174" t="s">
        <v>452</v>
      </c>
      <c r="P343" s="174" t="s">
        <v>422</v>
      </c>
      <c r="Q343" s="174" t="s">
        <v>412</v>
      </c>
      <c r="R343" s="174" t="s">
        <v>509</v>
      </c>
      <c r="S343" s="174" t="s">
        <v>881</v>
      </c>
      <c r="T343" s="174">
        <v>3</v>
      </c>
      <c r="U343" s="184"/>
    </row>
    <row r="344" spans="1:21" ht="20.100000000000001" customHeight="1" x14ac:dyDescent="0.2">
      <c r="A344" s="74">
        <v>99630</v>
      </c>
      <c r="B344" s="179" t="s">
        <v>881</v>
      </c>
      <c r="C344" s="74">
        <v>30020535</v>
      </c>
      <c r="D344" s="74" t="s">
        <v>881</v>
      </c>
      <c r="E344" s="174" t="s">
        <v>881</v>
      </c>
      <c r="F344" s="174" t="s">
        <v>335</v>
      </c>
      <c r="G344" s="174" t="s">
        <v>1058</v>
      </c>
      <c r="H344" s="174" t="s">
        <v>329</v>
      </c>
      <c r="I344" s="174" t="s">
        <v>348</v>
      </c>
      <c r="J344" s="174" t="s">
        <v>349</v>
      </c>
      <c r="K344" s="174" t="s">
        <v>334</v>
      </c>
      <c r="L344" s="174">
        <v>20060376</v>
      </c>
      <c r="M344" s="174" t="s">
        <v>73</v>
      </c>
      <c r="N344" s="174" t="s">
        <v>899</v>
      </c>
      <c r="O344" s="174" t="s">
        <v>398</v>
      </c>
      <c r="P344" s="174" t="s">
        <v>399</v>
      </c>
      <c r="Q344" s="174" t="s">
        <v>207</v>
      </c>
      <c r="R344" s="174" t="s">
        <v>1196</v>
      </c>
      <c r="S344" s="174" t="s">
        <v>881</v>
      </c>
      <c r="T344" s="174" t="s">
        <v>633</v>
      </c>
      <c r="U344" s="184"/>
    </row>
    <row r="345" spans="1:21" s="168" customFormat="1" ht="20.100000000000001" customHeight="1" x14ac:dyDescent="0.2">
      <c r="A345" s="188">
        <v>99639</v>
      </c>
      <c r="B345" s="189" t="s">
        <v>1352</v>
      </c>
      <c r="C345" s="171">
        <v>30022968</v>
      </c>
      <c r="D345" s="171">
        <v>30019851</v>
      </c>
      <c r="E345" s="168" t="s">
        <v>881</v>
      </c>
      <c r="F345" s="168" t="s">
        <v>10</v>
      </c>
      <c r="G345" s="168" t="s">
        <v>1064</v>
      </c>
      <c r="H345" s="168" t="s">
        <v>332</v>
      </c>
      <c r="I345" s="168" t="s">
        <v>1440</v>
      </c>
      <c r="J345" s="168" t="s">
        <v>16</v>
      </c>
      <c r="K345" s="168" t="s">
        <v>334</v>
      </c>
      <c r="L345" s="168">
        <v>20061144</v>
      </c>
      <c r="M345" s="168" t="s">
        <v>73</v>
      </c>
      <c r="N345" s="168" t="s">
        <v>79</v>
      </c>
      <c r="O345" s="168" t="s">
        <v>1353</v>
      </c>
      <c r="P345" s="168" t="s">
        <v>1133</v>
      </c>
      <c r="Q345" s="168" t="s">
        <v>396</v>
      </c>
      <c r="R345" s="168" t="s">
        <v>1196</v>
      </c>
      <c r="S345" s="168" t="s">
        <v>881</v>
      </c>
      <c r="T345" s="168">
        <v>1</v>
      </c>
      <c r="U345" s="187"/>
    </row>
    <row r="346" spans="1:21" ht="20.100000000000001" customHeight="1" x14ac:dyDescent="0.2">
      <c r="A346" s="74">
        <v>99640</v>
      </c>
      <c r="B346" s="179" t="s">
        <v>881</v>
      </c>
      <c r="C346" s="74">
        <v>30020645</v>
      </c>
      <c r="D346" s="74" t="s">
        <v>881</v>
      </c>
      <c r="E346" s="174" t="s">
        <v>881</v>
      </c>
      <c r="F346" s="174" t="s">
        <v>335</v>
      </c>
      <c r="G346" s="174" t="s">
        <v>1047</v>
      </c>
      <c r="H346" s="174" t="s">
        <v>332</v>
      </c>
      <c r="I346" s="174" t="s">
        <v>600</v>
      </c>
      <c r="J346" s="174" t="s">
        <v>66</v>
      </c>
      <c r="K346" s="174" t="s">
        <v>334</v>
      </c>
      <c r="L346" s="174">
        <v>20061387</v>
      </c>
      <c r="M346" s="185" t="s">
        <v>915</v>
      </c>
      <c r="N346" s="174" t="s">
        <v>255</v>
      </c>
      <c r="O346" s="174" t="s">
        <v>481</v>
      </c>
      <c r="P346" s="174" t="s">
        <v>482</v>
      </c>
      <c r="Q346" s="174" t="s">
        <v>412</v>
      </c>
      <c r="R346" s="174" t="s">
        <v>509</v>
      </c>
      <c r="S346" s="174" t="s">
        <v>881</v>
      </c>
      <c r="T346" s="174">
        <v>3</v>
      </c>
      <c r="U346" s="184"/>
    </row>
    <row r="347" spans="1:21" ht="20.100000000000001" customHeight="1" x14ac:dyDescent="0.2">
      <c r="A347" s="74">
        <v>99650</v>
      </c>
      <c r="B347" s="179" t="s">
        <v>881</v>
      </c>
      <c r="C347" s="74">
        <v>30020796</v>
      </c>
      <c r="D347" s="74" t="s">
        <v>881</v>
      </c>
      <c r="E347" s="174" t="s">
        <v>881</v>
      </c>
      <c r="F347" s="174" t="s">
        <v>335</v>
      </c>
      <c r="G347" s="174" t="s">
        <v>1054</v>
      </c>
      <c r="H347" s="174" t="s">
        <v>330</v>
      </c>
      <c r="I347" s="174" t="s">
        <v>517</v>
      </c>
      <c r="J347" s="174" t="s">
        <v>356</v>
      </c>
      <c r="K347" s="174" t="s">
        <v>334</v>
      </c>
      <c r="L347" s="174">
        <v>20063241</v>
      </c>
      <c r="M347" s="185" t="s">
        <v>73</v>
      </c>
      <c r="N347" s="174" t="s">
        <v>255</v>
      </c>
      <c r="O347" s="174" t="s">
        <v>487</v>
      </c>
      <c r="P347" s="174" t="s">
        <v>461</v>
      </c>
      <c r="Q347" s="174" t="s">
        <v>412</v>
      </c>
      <c r="R347" s="174" t="s">
        <v>509</v>
      </c>
      <c r="S347" s="174" t="s">
        <v>881</v>
      </c>
      <c r="T347" s="174">
        <v>3</v>
      </c>
      <c r="U347" s="184"/>
    </row>
    <row r="348" spans="1:21" ht="20.100000000000001" customHeight="1" x14ac:dyDescent="0.2">
      <c r="A348" s="74">
        <v>99660</v>
      </c>
      <c r="B348" s="179" t="s">
        <v>881</v>
      </c>
      <c r="C348" s="74">
        <v>30021124</v>
      </c>
      <c r="D348" s="74" t="s">
        <v>881</v>
      </c>
      <c r="E348" s="174" t="s">
        <v>881</v>
      </c>
      <c r="F348" s="174" t="s">
        <v>335</v>
      </c>
      <c r="G348" s="174" t="s">
        <v>1047</v>
      </c>
      <c r="H348" s="174" t="s">
        <v>329</v>
      </c>
      <c r="I348" s="174" t="s">
        <v>553</v>
      </c>
      <c r="J348" s="174" t="s">
        <v>639</v>
      </c>
      <c r="K348" s="174" t="s">
        <v>334</v>
      </c>
      <c r="L348" s="174">
        <v>20063219</v>
      </c>
      <c r="M348" s="174" t="s">
        <v>73</v>
      </c>
      <c r="N348" s="174" t="s">
        <v>531</v>
      </c>
      <c r="O348" s="174" t="s">
        <v>410</v>
      </c>
      <c r="P348" s="174" t="s">
        <v>1496</v>
      </c>
      <c r="Q348" s="174" t="s">
        <v>406</v>
      </c>
      <c r="R348" s="174" t="s">
        <v>1196</v>
      </c>
      <c r="S348" s="174" t="s">
        <v>881</v>
      </c>
      <c r="T348" s="174">
        <v>4</v>
      </c>
      <c r="U348" s="184"/>
    </row>
    <row r="349" spans="1:21" ht="20.100000000000001" customHeight="1" x14ac:dyDescent="0.2">
      <c r="A349" s="74">
        <v>99667</v>
      </c>
      <c r="B349" s="179" t="s">
        <v>881</v>
      </c>
      <c r="C349" s="74">
        <v>30023050</v>
      </c>
      <c r="D349" s="74" t="s">
        <v>881</v>
      </c>
      <c r="E349" s="174" t="s">
        <v>881</v>
      </c>
      <c r="F349" s="174" t="s">
        <v>699</v>
      </c>
      <c r="G349" s="174" t="s">
        <v>1049</v>
      </c>
      <c r="H349" s="174" t="s">
        <v>329</v>
      </c>
      <c r="I349" s="174" t="s">
        <v>348</v>
      </c>
      <c r="J349" s="174" t="s">
        <v>349</v>
      </c>
      <c r="K349" s="174" t="s">
        <v>334</v>
      </c>
      <c r="L349" s="174">
        <v>20061245</v>
      </c>
      <c r="M349" s="185" t="s">
        <v>73</v>
      </c>
      <c r="N349" s="174" t="s">
        <v>881</v>
      </c>
      <c r="O349" s="174" t="s">
        <v>495</v>
      </c>
      <c r="P349" s="174" t="s">
        <v>496</v>
      </c>
      <c r="Q349" s="174" t="s">
        <v>497</v>
      </c>
      <c r="R349" s="174" t="s">
        <v>1196</v>
      </c>
      <c r="S349" s="174" t="s">
        <v>881</v>
      </c>
      <c r="T349" s="174" t="s">
        <v>881</v>
      </c>
      <c r="U349" s="184"/>
    </row>
    <row r="350" spans="1:21" ht="20.100000000000001" customHeight="1" x14ac:dyDescent="0.2">
      <c r="A350" s="74">
        <v>99670</v>
      </c>
      <c r="B350" s="179" t="s">
        <v>881</v>
      </c>
      <c r="C350" s="74">
        <v>30022772</v>
      </c>
      <c r="D350" s="74" t="s">
        <v>881</v>
      </c>
      <c r="E350" s="174" t="s">
        <v>881</v>
      </c>
      <c r="F350" s="174" t="s">
        <v>335</v>
      </c>
      <c r="G350" s="174" t="s">
        <v>1041</v>
      </c>
      <c r="H350" s="174" t="s">
        <v>332</v>
      </c>
      <c r="I350" s="174" t="s">
        <v>1450</v>
      </c>
      <c r="J350" s="174" t="s">
        <v>36</v>
      </c>
      <c r="K350" s="174" t="s">
        <v>334</v>
      </c>
      <c r="L350" s="174">
        <v>20063432</v>
      </c>
      <c r="M350" s="185" t="s">
        <v>73</v>
      </c>
      <c r="N350" s="174" t="s">
        <v>634</v>
      </c>
      <c r="O350" s="174" t="s">
        <v>391</v>
      </c>
      <c r="P350" s="174" t="s">
        <v>422</v>
      </c>
      <c r="Q350" s="174" t="s">
        <v>412</v>
      </c>
      <c r="R350" s="174" t="s">
        <v>509</v>
      </c>
      <c r="S350" s="174" t="s">
        <v>881</v>
      </c>
      <c r="T350" s="174">
        <v>3</v>
      </c>
      <c r="U350" s="184"/>
    </row>
    <row r="351" spans="1:21" s="139" customFormat="1" ht="20.100000000000001" customHeight="1" x14ac:dyDescent="0.2">
      <c r="A351" s="197">
        <v>99671</v>
      </c>
      <c r="B351" s="198" t="s">
        <v>105</v>
      </c>
      <c r="C351" s="199">
        <v>30021103</v>
      </c>
      <c r="D351" s="199">
        <v>30019882</v>
      </c>
      <c r="E351" s="139" t="s">
        <v>881</v>
      </c>
      <c r="F351" s="139" t="s">
        <v>10</v>
      </c>
      <c r="G351" s="139" t="s">
        <v>1064</v>
      </c>
      <c r="H351" s="139" t="s">
        <v>332</v>
      </c>
      <c r="I351" s="139" t="s">
        <v>337</v>
      </c>
      <c r="J351" s="139" t="s">
        <v>113</v>
      </c>
      <c r="K351" s="139" t="s">
        <v>334</v>
      </c>
      <c r="L351" s="139">
        <v>20061408</v>
      </c>
      <c r="M351" s="139" t="s">
        <v>73</v>
      </c>
      <c r="N351" s="139" t="s">
        <v>677</v>
      </c>
      <c r="O351" s="139" t="s">
        <v>1130</v>
      </c>
      <c r="P351" s="139" t="s">
        <v>1210</v>
      </c>
      <c r="Q351" s="139" t="s">
        <v>396</v>
      </c>
      <c r="R351" s="139" t="s">
        <v>1196</v>
      </c>
      <c r="S351" s="139" t="s">
        <v>881</v>
      </c>
      <c r="T351" s="139" t="s">
        <v>881</v>
      </c>
      <c r="U351" s="200"/>
    </row>
    <row r="352" spans="1:21" s="139" customFormat="1" ht="20.100000000000001" customHeight="1" x14ac:dyDescent="0.2">
      <c r="A352" s="197">
        <v>99672</v>
      </c>
      <c r="B352" s="198" t="s">
        <v>106</v>
      </c>
      <c r="C352" s="199">
        <v>30022969</v>
      </c>
      <c r="D352" s="199">
        <v>30019848</v>
      </c>
      <c r="E352" s="139" t="s">
        <v>881</v>
      </c>
      <c r="F352" s="139" t="s">
        <v>10</v>
      </c>
      <c r="G352" s="139" t="s">
        <v>1069</v>
      </c>
      <c r="H352" s="139" t="s">
        <v>330</v>
      </c>
      <c r="I352" s="139" t="s">
        <v>1495</v>
      </c>
      <c r="J352" s="139" t="s">
        <v>110</v>
      </c>
      <c r="K352" s="139" t="s">
        <v>334</v>
      </c>
      <c r="L352" s="139">
        <v>20061256</v>
      </c>
      <c r="M352" s="139" t="s">
        <v>73</v>
      </c>
      <c r="N352" s="139" t="s">
        <v>679</v>
      </c>
      <c r="O352" s="139" t="s">
        <v>1130</v>
      </c>
      <c r="P352" s="139" t="s">
        <v>1210</v>
      </c>
      <c r="Q352" s="139" t="s">
        <v>396</v>
      </c>
      <c r="R352" s="139" t="s">
        <v>1196</v>
      </c>
      <c r="S352" s="139" t="s">
        <v>881</v>
      </c>
      <c r="T352" s="139" t="s">
        <v>881</v>
      </c>
      <c r="U352" s="200"/>
    </row>
    <row r="353" spans="1:21" s="168" customFormat="1" ht="20.100000000000001" customHeight="1" x14ac:dyDescent="0.2">
      <c r="A353" s="188">
        <v>99673</v>
      </c>
      <c r="B353" s="189" t="s">
        <v>1354</v>
      </c>
      <c r="C353" s="171">
        <v>30023000</v>
      </c>
      <c r="D353" s="171">
        <v>30019849</v>
      </c>
      <c r="E353" s="168" t="s">
        <v>881</v>
      </c>
      <c r="F353" s="168" t="s">
        <v>10</v>
      </c>
      <c r="G353" s="168" t="s">
        <v>1063</v>
      </c>
      <c r="H353" s="168" t="s">
        <v>628</v>
      </c>
      <c r="I353" s="168" t="s">
        <v>517</v>
      </c>
      <c r="J353" s="168" t="s">
        <v>356</v>
      </c>
      <c r="K353" s="168" t="s">
        <v>334</v>
      </c>
      <c r="L353" s="168">
        <v>20061252</v>
      </c>
      <c r="M353" s="168" t="s">
        <v>73</v>
      </c>
      <c r="N353" s="168" t="s">
        <v>112</v>
      </c>
      <c r="O353" s="168" t="s">
        <v>1023</v>
      </c>
      <c r="P353" s="168" t="s">
        <v>461</v>
      </c>
      <c r="Q353" s="168" t="s">
        <v>412</v>
      </c>
      <c r="R353" s="168" t="s">
        <v>509</v>
      </c>
      <c r="S353" s="168" t="s">
        <v>881</v>
      </c>
      <c r="T353" s="168" t="s">
        <v>881</v>
      </c>
      <c r="U353" s="187"/>
    </row>
    <row r="354" spans="1:21" s="139" customFormat="1" ht="20.100000000000001" customHeight="1" x14ac:dyDescent="0.2">
      <c r="A354" s="197">
        <v>99674</v>
      </c>
      <c r="B354" s="198" t="s">
        <v>107</v>
      </c>
      <c r="C354" s="199">
        <v>30023001</v>
      </c>
      <c r="D354" s="199">
        <v>30019900</v>
      </c>
      <c r="E354" s="139" t="s">
        <v>881</v>
      </c>
      <c r="F354" s="139" t="s">
        <v>117</v>
      </c>
      <c r="G354" s="139" t="s">
        <v>1058</v>
      </c>
      <c r="H354" s="139" t="s">
        <v>329</v>
      </c>
      <c r="I354" s="139" t="s">
        <v>348</v>
      </c>
      <c r="J354" s="139" t="s">
        <v>349</v>
      </c>
      <c r="K354" s="139" t="s">
        <v>334</v>
      </c>
      <c r="L354" s="139">
        <v>20061773</v>
      </c>
      <c r="M354" s="139" t="s">
        <v>73</v>
      </c>
      <c r="N354" s="139" t="s">
        <v>900</v>
      </c>
      <c r="O354" s="139" t="s">
        <v>1116</v>
      </c>
      <c r="P354" s="139" t="s">
        <v>399</v>
      </c>
      <c r="Q354" s="139" t="s">
        <v>207</v>
      </c>
      <c r="R354" s="139" t="s">
        <v>1196</v>
      </c>
      <c r="S354" s="139" t="s">
        <v>881</v>
      </c>
      <c r="T354" s="139" t="s">
        <v>881</v>
      </c>
      <c r="U354" s="200"/>
    </row>
    <row r="355" spans="1:21" ht="20.100000000000001" customHeight="1" x14ac:dyDescent="0.2">
      <c r="A355" s="74">
        <v>99680</v>
      </c>
      <c r="B355" s="179" t="s">
        <v>881</v>
      </c>
      <c r="C355" s="74">
        <v>30020746</v>
      </c>
      <c r="D355" s="74" t="s">
        <v>881</v>
      </c>
      <c r="E355" s="174" t="s">
        <v>881</v>
      </c>
      <c r="F355" s="174" t="s">
        <v>335</v>
      </c>
      <c r="G355" s="174" t="s">
        <v>987</v>
      </c>
      <c r="H355" s="174" t="s">
        <v>332</v>
      </c>
      <c r="I355" s="174" t="s">
        <v>1474</v>
      </c>
      <c r="J355" s="174" t="s">
        <v>67</v>
      </c>
      <c r="K355" s="174" t="s">
        <v>334</v>
      </c>
      <c r="L355" s="174">
        <v>20060809</v>
      </c>
      <c r="M355" s="185" t="s">
        <v>73</v>
      </c>
      <c r="N355" s="174" t="s">
        <v>667</v>
      </c>
      <c r="O355" s="174" t="s">
        <v>453</v>
      </c>
      <c r="P355" s="174" t="s">
        <v>386</v>
      </c>
      <c r="Q355" s="174" t="s">
        <v>412</v>
      </c>
      <c r="R355" s="174" t="s">
        <v>509</v>
      </c>
      <c r="S355" s="174" t="s">
        <v>881</v>
      </c>
      <c r="T355" s="174">
        <v>3</v>
      </c>
      <c r="U355" s="184"/>
    </row>
    <row r="356" spans="1:21" s="168" customFormat="1" ht="20.100000000000001" customHeight="1" x14ac:dyDescent="0.2">
      <c r="A356" s="188">
        <v>99684</v>
      </c>
      <c r="B356" s="189" t="s">
        <v>1355</v>
      </c>
      <c r="C356" s="171">
        <v>30023002</v>
      </c>
      <c r="D356" s="171">
        <v>30019959</v>
      </c>
      <c r="E356" s="168" t="s">
        <v>881</v>
      </c>
      <c r="F356" s="168" t="s">
        <v>10</v>
      </c>
      <c r="G356" s="168" t="s">
        <v>1041</v>
      </c>
      <c r="H356" s="168" t="s">
        <v>336</v>
      </c>
      <c r="I356" s="168" t="s">
        <v>1494</v>
      </c>
      <c r="J356" s="168" t="s">
        <v>113</v>
      </c>
      <c r="K356" s="168" t="s">
        <v>334</v>
      </c>
      <c r="L356" s="168">
        <v>20061408</v>
      </c>
      <c r="M356" s="186" t="s">
        <v>73</v>
      </c>
      <c r="N356" s="168" t="s">
        <v>678</v>
      </c>
      <c r="O356" s="168" t="s">
        <v>1121</v>
      </c>
      <c r="P356" s="168" t="s">
        <v>1210</v>
      </c>
      <c r="Q356" s="168" t="s">
        <v>396</v>
      </c>
      <c r="R356" s="168" t="s">
        <v>1196</v>
      </c>
      <c r="S356" s="168" t="s">
        <v>881</v>
      </c>
      <c r="T356" s="168" t="s">
        <v>881</v>
      </c>
      <c r="U356" s="187"/>
    </row>
    <row r="357" spans="1:21" s="139" customFormat="1" ht="20.100000000000001" customHeight="1" x14ac:dyDescent="0.2">
      <c r="A357" s="197">
        <v>99688</v>
      </c>
      <c r="B357" s="198" t="s">
        <v>1356</v>
      </c>
      <c r="C357" s="199">
        <v>30021031</v>
      </c>
      <c r="D357" s="199">
        <v>30019938</v>
      </c>
      <c r="E357" s="139" t="s">
        <v>881</v>
      </c>
      <c r="F357" s="139" t="s">
        <v>10</v>
      </c>
      <c r="G357" s="139" t="s">
        <v>1041</v>
      </c>
      <c r="H357" s="139" t="s">
        <v>336</v>
      </c>
      <c r="I357" s="139" t="s">
        <v>1493</v>
      </c>
      <c r="J357" s="139" t="s">
        <v>84</v>
      </c>
      <c r="K357" s="139" t="s">
        <v>334</v>
      </c>
      <c r="L357" s="139">
        <v>20061408</v>
      </c>
      <c r="M357" s="204" t="s">
        <v>73</v>
      </c>
      <c r="N357" s="139" t="s">
        <v>916</v>
      </c>
      <c r="O357" s="139" t="s">
        <v>1204</v>
      </c>
      <c r="P357" s="139" t="s">
        <v>1210</v>
      </c>
      <c r="Q357" s="139" t="s">
        <v>396</v>
      </c>
      <c r="R357" s="139" t="s">
        <v>1196</v>
      </c>
      <c r="S357" s="139" t="s">
        <v>881</v>
      </c>
      <c r="T357" s="139" t="s">
        <v>881</v>
      </c>
      <c r="U357" s="200"/>
    </row>
    <row r="358" spans="1:21" ht="20.100000000000001" customHeight="1" x14ac:dyDescent="0.2">
      <c r="A358" s="74">
        <v>99689</v>
      </c>
      <c r="B358" s="179" t="s">
        <v>881</v>
      </c>
      <c r="C358" s="74">
        <v>30024302</v>
      </c>
      <c r="D358" s="74" t="s">
        <v>881</v>
      </c>
      <c r="E358" s="174" t="s">
        <v>617</v>
      </c>
      <c r="F358" s="174" t="s">
        <v>335</v>
      </c>
      <c r="G358" s="174" t="s">
        <v>1041</v>
      </c>
      <c r="H358" s="174" t="s">
        <v>332</v>
      </c>
      <c r="I358" s="174" t="s">
        <v>598</v>
      </c>
      <c r="J358" s="174" t="s">
        <v>645</v>
      </c>
      <c r="K358" s="174" t="s">
        <v>334</v>
      </c>
      <c r="L358" s="174">
        <v>20060730</v>
      </c>
      <c r="M358" s="185" t="s">
        <v>73</v>
      </c>
      <c r="N358" s="174" t="s">
        <v>881</v>
      </c>
      <c r="O358" s="174" t="s">
        <v>426</v>
      </c>
      <c r="P358" s="174" t="s">
        <v>427</v>
      </c>
      <c r="Q358" s="174" t="s">
        <v>412</v>
      </c>
      <c r="R358" s="174" t="s">
        <v>1196</v>
      </c>
      <c r="S358" s="174">
        <v>40050731</v>
      </c>
      <c r="T358" s="174">
        <v>3</v>
      </c>
      <c r="U358" s="184"/>
    </row>
    <row r="359" spans="1:21" ht="20.100000000000001" customHeight="1" x14ac:dyDescent="0.2">
      <c r="A359" s="74">
        <v>99690</v>
      </c>
      <c r="B359" s="179" t="s">
        <v>881</v>
      </c>
      <c r="C359" s="74">
        <v>30021569</v>
      </c>
      <c r="D359" s="74" t="s">
        <v>881</v>
      </c>
      <c r="E359" s="174" t="s">
        <v>881</v>
      </c>
      <c r="F359" s="174" t="s">
        <v>335</v>
      </c>
      <c r="G359" s="174" t="s">
        <v>1053</v>
      </c>
      <c r="H359" s="174" t="s">
        <v>332</v>
      </c>
      <c r="I359" s="174" t="s">
        <v>1475</v>
      </c>
      <c r="J359" s="174" t="s">
        <v>93</v>
      </c>
      <c r="K359" s="174" t="s">
        <v>334</v>
      </c>
      <c r="L359" s="174">
        <v>20061355</v>
      </c>
      <c r="M359" s="185" t="s">
        <v>73</v>
      </c>
      <c r="N359" s="174" t="s">
        <v>321</v>
      </c>
      <c r="O359" s="174" t="s">
        <v>488</v>
      </c>
      <c r="P359" s="174" t="s">
        <v>733</v>
      </c>
      <c r="Q359" s="174" t="s">
        <v>489</v>
      </c>
      <c r="R359" s="174" t="s">
        <v>1196</v>
      </c>
      <c r="S359" s="174" t="s">
        <v>881</v>
      </c>
      <c r="T359" s="174">
        <v>3</v>
      </c>
      <c r="U359" s="184"/>
    </row>
    <row r="360" spans="1:21" ht="20.100000000000001" customHeight="1" x14ac:dyDescent="0.2">
      <c r="A360" s="74">
        <v>99700</v>
      </c>
      <c r="B360" s="179" t="s">
        <v>881</v>
      </c>
      <c r="C360" s="74">
        <v>30021125</v>
      </c>
      <c r="D360" s="74" t="s">
        <v>881</v>
      </c>
      <c r="E360" s="174" t="s">
        <v>881</v>
      </c>
      <c r="F360" s="174" t="s">
        <v>20</v>
      </c>
      <c r="G360" s="174" t="s">
        <v>1058</v>
      </c>
      <c r="H360" s="174" t="s">
        <v>329</v>
      </c>
      <c r="I360" s="174" t="s">
        <v>348</v>
      </c>
      <c r="J360" s="174" t="s">
        <v>349</v>
      </c>
      <c r="K360" s="174" t="s">
        <v>334</v>
      </c>
      <c r="L360" s="174">
        <v>20062542</v>
      </c>
      <c r="M360" s="174" t="s">
        <v>73</v>
      </c>
      <c r="N360" s="174" t="s">
        <v>887</v>
      </c>
      <c r="O360" s="174" t="s">
        <v>404</v>
      </c>
      <c r="P360" s="174" t="s">
        <v>405</v>
      </c>
      <c r="Q360" s="174" t="s">
        <v>406</v>
      </c>
      <c r="R360" s="174" t="s">
        <v>1196</v>
      </c>
      <c r="S360" s="174" t="s">
        <v>881</v>
      </c>
      <c r="T360" s="174">
        <v>4</v>
      </c>
      <c r="U360" s="184"/>
    </row>
    <row r="361" spans="1:21" ht="20.100000000000001" customHeight="1" x14ac:dyDescent="0.2">
      <c r="A361" s="74">
        <v>99702</v>
      </c>
      <c r="B361" s="179" t="s">
        <v>881</v>
      </c>
      <c r="C361" s="74">
        <v>30024157</v>
      </c>
      <c r="D361" s="74" t="s">
        <v>881</v>
      </c>
      <c r="E361" s="174" t="s">
        <v>874</v>
      </c>
      <c r="F361" s="174" t="s">
        <v>671</v>
      </c>
      <c r="G361" s="174" t="s">
        <v>1047</v>
      </c>
      <c r="H361" s="174" t="s">
        <v>329</v>
      </c>
      <c r="I361" s="174" t="s">
        <v>540</v>
      </c>
      <c r="J361" s="174" t="s">
        <v>676</v>
      </c>
      <c r="K361" s="174" t="s">
        <v>334</v>
      </c>
      <c r="L361" s="174">
        <v>20061374</v>
      </c>
      <c r="M361" s="185" t="s">
        <v>73</v>
      </c>
      <c r="N361" s="174" t="s">
        <v>542</v>
      </c>
      <c r="O361" s="174" t="s">
        <v>411</v>
      </c>
      <c r="P361" s="174" t="s">
        <v>1496</v>
      </c>
      <c r="Q361" s="174" t="s">
        <v>406</v>
      </c>
      <c r="R361" s="174" t="s">
        <v>1196</v>
      </c>
      <c r="S361" s="174" t="s">
        <v>881</v>
      </c>
      <c r="T361" s="174">
        <v>4</v>
      </c>
      <c r="U361" s="184"/>
    </row>
    <row r="362" spans="1:21" ht="20.100000000000001" customHeight="1" x14ac:dyDescent="0.2">
      <c r="A362" s="74">
        <v>99710</v>
      </c>
      <c r="B362" s="179" t="s">
        <v>881</v>
      </c>
      <c r="C362" s="74">
        <v>30020797</v>
      </c>
      <c r="D362" s="74" t="s">
        <v>881</v>
      </c>
      <c r="E362" s="174" t="s">
        <v>617</v>
      </c>
      <c r="F362" s="174" t="s">
        <v>335</v>
      </c>
      <c r="G362" s="174" t="s">
        <v>987</v>
      </c>
      <c r="H362" s="174" t="s">
        <v>336</v>
      </c>
      <c r="I362" s="174" t="s">
        <v>1474</v>
      </c>
      <c r="J362" s="174" t="s">
        <v>67</v>
      </c>
      <c r="K362" s="174" t="s">
        <v>334</v>
      </c>
      <c r="L362" s="174">
        <v>20060809</v>
      </c>
      <c r="M362" s="185" t="s">
        <v>73</v>
      </c>
      <c r="N362" s="174" t="s">
        <v>322</v>
      </c>
      <c r="O362" s="174" t="s">
        <v>479</v>
      </c>
      <c r="P362" s="174" t="s">
        <v>461</v>
      </c>
      <c r="Q362" s="174" t="s">
        <v>412</v>
      </c>
      <c r="R362" s="174" t="s">
        <v>509</v>
      </c>
      <c r="S362" s="174" t="s">
        <v>881</v>
      </c>
      <c r="T362" s="174">
        <v>3</v>
      </c>
      <c r="U362" s="184"/>
    </row>
    <row r="363" spans="1:21" ht="20.100000000000001" customHeight="1" x14ac:dyDescent="0.2">
      <c r="A363" s="74">
        <v>99713</v>
      </c>
      <c r="B363" s="179" t="s">
        <v>881</v>
      </c>
      <c r="C363" s="74">
        <v>30022778</v>
      </c>
      <c r="D363" s="74" t="s">
        <v>881</v>
      </c>
      <c r="E363" s="174" t="s">
        <v>881</v>
      </c>
      <c r="F363" s="174" t="s">
        <v>335</v>
      </c>
      <c r="G363" s="174" t="s">
        <v>1047</v>
      </c>
      <c r="H363" s="174" t="s">
        <v>332</v>
      </c>
      <c r="I363" s="174" t="s">
        <v>1476</v>
      </c>
      <c r="J363" s="174" t="s">
        <v>37</v>
      </c>
      <c r="K363" s="174" t="s">
        <v>334</v>
      </c>
      <c r="L363" s="174">
        <v>20063432</v>
      </c>
      <c r="M363" s="185" t="s">
        <v>921</v>
      </c>
      <c r="N363" s="174" t="s">
        <v>634</v>
      </c>
      <c r="O363" s="174" t="s">
        <v>391</v>
      </c>
      <c r="P363" s="174" t="s">
        <v>390</v>
      </c>
      <c r="Q363" s="174" t="s">
        <v>412</v>
      </c>
      <c r="R363" s="174" t="s">
        <v>509</v>
      </c>
      <c r="S363" s="174" t="s">
        <v>881</v>
      </c>
      <c r="T363" s="174">
        <v>3</v>
      </c>
      <c r="U363" s="184"/>
    </row>
    <row r="364" spans="1:21" ht="20.100000000000001" customHeight="1" x14ac:dyDescent="0.2">
      <c r="A364" s="74">
        <v>99720</v>
      </c>
      <c r="B364" s="179" t="s">
        <v>881</v>
      </c>
      <c r="C364" s="74">
        <v>30021004</v>
      </c>
      <c r="D364" s="74" t="s">
        <v>881</v>
      </c>
      <c r="E364" s="174" t="s">
        <v>881</v>
      </c>
      <c r="F364" s="174" t="s">
        <v>20</v>
      </c>
      <c r="G364" s="174" t="s">
        <v>1058</v>
      </c>
      <c r="H364" s="174" t="s">
        <v>329</v>
      </c>
      <c r="I364" s="174" t="s">
        <v>348</v>
      </c>
      <c r="J364" s="174" t="s">
        <v>349</v>
      </c>
      <c r="K364" s="174" t="s">
        <v>334</v>
      </c>
      <c r="L364" s="174">
        <v>20062542</v>
      </c>
      <c r="M364" s="174" t="s">
        <v>73</v>
      </c>
      <c r="N364" s="174" t="s">
        <v>887</v>
      </c>
      <c r="O364" s="174" t="s">
        <v>404</v>
      </c>
      <c r="P364" s="174" t="s">
        <v>405</v>
      </c>
      <c r="Q364" s="174" t="s">
        <v>406</v>
      </c>
      <c r="R364" s="174" t="s">
        <v>1196</v>
      </c>
      <c r="S364" s="174" t="s">
        <v>881</v>
      </c>
      <c r="T364" s="174">
        <v>4</v>
      </c>
      <c r="U364" s="184"/>
    </row>
    <row r="365" spans="1:21" ht="20.100000000000001" customHeight="1" x14ac:dyDescent="0.2">
      <c r="A365" s="74">
        <v>99724</v>
      </c>
      <c r="B365" s="179" t="s">
        <v>881</v>
      </c>
      <c r="C365" s="74">
        <v>30022457</v>
      </c>
      <c r="D365" s="74" t="s">
        <v>881</v>
      </c>
      <c r="E365" s="174" t="s">
        <v>881</v>
      </c>
      <c r="F365" s="174" t="s">
        <v>699</v>
      </c>
      <c r="G365" s="174" t="s">
        <v>1049</v>
      </c>
      <c r="H365" s="174" t="s">
        <v>590</v>
      </c>
      <c r="I365" s="174" t="s">
        <v>1449</v>
      </c>
      <c r="J365" s="174" t="s">
        <v>53</v>
      </c>
      <c r="K365" s="174" t="s">
        <v>334</v>
      </c>
      <c r="L365" s="174">
        <v>20061369</v>
      </c>
      <c r="M365" s="185" t="s">
        <v>73</v>
      </c>
      <c r="N365" s="174" t="s">
        <v>938</v>
      </c>
      <c r="O365" s="174" t="s">
        <v>498</v>
      </c>
      <c r="P365" s="174" t="s">
        <v>499</v>
      </c>
      <c r="Q365" s="174" t="s">
        <v>507</v>
      </c>
      <c r="R365" s="174" t="s">
        <v>1196</v>
      </c>
      <c r="S365" s="174" t="s">
        <v>881</v>
      </c>
      <c r="T365" s="174">
        <v>2</v>
      </c>
      <c r="U365" s="184"/>
    </row>
    <row r="366" spans="1:21" ht="20.100000000000001" customHeight="1" x14ac:dyDescent="0.2">
      <c r="A366" s="74">
        <v>99745</v>
      </c>
      <c r="B366" s="179" t="s">
        <v>881</v>
      </c>
      <c r="C366" s="74">
        <v>30021765</v>
      </c>
      <c r="D366" s="74" t="s">
        <v>881</v>
      </c>
      <c r="E366" s="174" t="s">
        <v>881</v>
      </c>
      <c r="F366" s="174" t="s">
        <v>604</v>
      </c>
      <c r="G366" s="174" t="s">
        <v>1058</v>
      </c>
      <c r="H366" s="174" t="s">
        <v>329</v>
      </c>
      <c r="I366" s="174" t="s">
        <v>348</v>
      </c>
      <c r="J366" s="174" t="s">
        <v>349</v>
      </c>
      <c r="K366" s="174" t="s">
        <v>334</v>
      </c>
      <c r="L366" s="174">
        <v>20060376</v>
      </c>
      <c r="M366" s="174" t="s">
        <v>73</v>
      </c>
      <c r="N366" s="174" t="s">
        <v>901</v>
      </c>
      <c r="O366" s="174" t="s">
        <v>400</v>
      </c>
      <c r="P366" s="174" t="s">
        <v>399</v>
      </c>
      <c r="Q366" s="174" t="s">
        <v>207</v>
      </c>
      <c r="R366" s="174" t="s">
        <v>1196</v>
      </c>
      <c r="S366" s="174" t="s">
        <v>881</v>
      </c>
      <c r="T366" s="174" t="s">
        <v>633</v>
      </c>
      <c r="U366" s="184"/>
    </row>
    <row r="367" spans="1:21" ht="20.100000000000001" customHeight="1" x14ac:dyDescent="0.2">
      <c r="A367" s="74">
        <v>99746</v>
      </c>
      <c r="B367" s="179" t="s">
        <v>881</v>
      </c>
      <c r="C367" s="74">
        <v>30022186</v>
      </c>
      <c r="D367" s="74" t="s">
        <v>881</v>
      </c>
      <c r="E367" s="174" t="s">
        <v>881</v>
      </c>
      <c r="F367" s="174" t="s">
        <v>335</v>
      </c>
      <c r="G367" s="174" t="s">
        <v>1063</v>
      </c>
      <c r="H367" s="174" t="s">
        <v>330</v>
      </c>
      <c r="I367" s="174" t="s">
        <v>342</v>
      </c>
      <c r="J367" s="174" t="s">
        <v>324</v>
      </c>
      <c r="K367" s="174" t="s">
        <v>334</v>
      </c>
      <c r="L367" s="174">
        <v>20060556</v>
      </c>
      <c r="M367" s="185" t="s">
        <v>73</v>
      </c>
      <c r="N367" s="174" t="s">
        <v>634</v>
      </c>
      <c r="O367" s="174" t="s">
        <v>381</v>
      </c>
      <c r="P367" s="174" t="s">
        <v>386</v>
      </c>
      <c r="Q367" s="174" t="s">
        <v>412</v>
      </c>
      <c r="R367" s="174" t="s">
        <v>509</v>
      </c>
      <c r="S367" s="174" t="s">
        <v>881</v>
      </c>
      <c r="T367" s="174">
        <v>3</v>
      </c>
      <c r="U367" s="184"/>
    </row>
    <row r="368" spans="1:21" ht="20.100000000000001" customHeight="1" x14ac:dyDescent="0.2">
      <c r="A368" s="74">
        <v>99751</v>
      </c>
      <c r="B368" s="179" t="s">
        <v>881</v>
      </c>
      <c r="C368" s="74">
        <v>30021206</v>
      </c>
      <c r="D368" s="74" t="s">
        <v>881</v>
      </c>
      <c r="E368" s="174" t="s">
        <v>881</v>
      </c>
      <c r="F368" s="174" t="s">
        <v>699</v>
      </c>
      <c r="G368" s="174" t="s">
        <v>1049</v>
      </c>
      <c r="H368" s="174" t="s">
        <v>590</v>
      </c>
      <c r="I368" s="174" t="s">
        <v>1449</v>
      </c>
      <c r="J368" s="174" t="s">
        <v>53</v>
      </c>
      <c r="K368" s="174" t="s">
        <v>334</v>
      </c>
      <c r="L368" s="174">
        <v>20061369</v>
      </c>
      <c r="M368" s="185" t="s">
        <v>73</v>
      </c>
      <c r="N368" s="174" t="s">
        <v>938</v>
      </c>
      <c r="O368" s="174" t="s">
        <v>498</v>
      </c>
      <c r="P368" s="174" t="s">
        <v>499</v>
      </c>
      <c r="Q368" s="174" t="s">
        <v>507</v>
      </c>
      <c r="R368" s="174" t="s">
        <v>1196</v>
      </c>
      <c r="S368" s="174" t="s">
        <v>881</v>
      </c>
      <c r="T368" s="174">
        <v>2</v>
      </c>
      <c r="U368" s="184"/>
    </row>
    <row r="369" spans="1:21" ht="20.100000000000001" customHeight="1" x14ac:dyDescent="0.2">
      <c r="A369" s="74">
        <v>99771</v>
      </c>
      <c r="B369" s="179" t="s">
        <v>881</v>
      </c>
      <c r="C369" s="74">
        <v>30022458</v>
      </c>
      <c r="D369" s="74" t="s">
        <v>881</v>
      </c>
      <c r="E369" s="174" t="s">
        <v>881</v>
      </c>
      <c r="F369" s="174" t="s">
        <v>20</v>
      </c>
      <c r="G369" s="174" t="s">
        <v>1058</v>
      </c>
      <c r="H369" s="174" t="s">
        <v>329</v>
      </c>
      <c r="I369" s="174" t="s">
        <v>348</v>
      </c>
      <c r="J369" s="174" t="s">
        <v>349</v>
      </c>
      <c r="K369" s="174" t="s">
        <v>334</v>
      </c>
      <c r="L369" s="174">
        <v>20061609</v>
      </c>
      <c r="M369" s="174" t="s">
        <v>73</v>
      </c>
      <c r="N369" s="174" t="s">
        <v>887</v>
      </c>
      <c r="O369" s="174" t="s">
        <v>407</v>
      </c>
      <c r="P369" s="174" t="s">
        <v>405</v>
      </c>
      <c r="Q369" s="174" t="s">
        <v>406</v>
      </c>
      <c r="R369" s="174" t="s">
        <v>1196</v>
      </c>
      <c r="S369" s="174" t="s">
        <v>881</v>
      </c>
      <c r="T369" s="174">
        <v>4</v>
      </c>
      <c r="U369" s="184"/>
    </row>
    <row r="370" spans="1:21" ht="20.100000000000001" customHeight="1" x14ac:dyDescent="0.2">
      <c r="A370" s="74">
        <v>99779</v>
      </c>
      <c r="B370" s="179" t="s">
        <v>881</v>
      </c>
      <c r="C370" s="74">
        <v>30020146</v>
      </c>
      <c r="D370" s="74" t="s">
        <v>881</v>
      </c>
      <c r="E370" s="174" t="s">
        <v>881</v>
      </c>
      <c r="F370" s="174" t="s">
        <v>699</v>
      </c>
      <c r="G370" s="174" t="s">
        <v>1058</v>
      </c>
      <c r="H370" s="174" t="s">
        <v>329</v>
      </c>
      <c r="I370" s="174" t="s">
        <v>348</v>
      </c>
      <c r="J370" s="174" t="s">
        <v>349</v>
      </c>
      <c r="K370" s="174" t="s">
        <v>334</v>
      </c>
      <c r="L370" s="174">
        <v>20062304</v>
      </c>
      <c r="M370" s="185" t="s">
        <v>73</v>
      </c>
      <c r="N370" s="174" t="s">
        <v>881</v>
      </c>
      <c r="O370" s="174" t="s">
        <v>495</v>
      </c>
      <c r="P370" s="174" t="s">
        <v>496</v>
      </c>
      <c r="Q370" s="174" t="s">
        <v>497</v>
      </c>
      <c r="R370" s="174" t="s">
        <v>1196</v>
      </c>
      <c r="S370" s="174" t="s">
        <v>881</v>
      </c>
      <c r="T370" s="174" t="s">
        <v>881</v>
      </c>
      <c r="U370" s="184"/>
    </row>
    <row r="371" spans="1:21" ht="20.100000000000001" customHeight="1" x14ac:dyDescent="0.2">
      <c r="A371" s="74">
        <v>99782</v>
      </c>
      <c r="B371" s="179" t="s">
        <v>881</v>
      </c>
      <c r="C371" s="74">
        <v>30022459</v>
      </c>
      <c r="D371" s="74" t="s">
        <v>881</v>
      </c>
      <c r="E371" s="174" t="s">
        <v>881</v>
      </c>
      <c r="F371" s="174" t="s">
        <v>20</v>
      </c>
      <c r="G371" s="174" t="s">
        <v>1058</v>
      </c>
      <c r="H371" s="174" t="s">
        <v>329</v>
      </c>
      <c r="I371" s="174" t="s">
        <v>348</v>
      </c>
      <c r="J371" s="174" t="s">
        <v>349</v>
      </c>
      <c r="K371" s="174" t="s">
        <v>334</v>
      </c>
      <c r="L371" s="174">
        <v>20061609</v>
      </c>
      <c r="M371" s="174" t="s">
        <v>73</v>
      </c>
      <c r="N371" s="174" t="s">
        <v>887</v>
      </c>
      <c r="O371" s="174" t="s">
        <v>407</v>
      </c>
      <c r="P371" s="174" t="s">
        <v>405</v>
      </c>
      <c r="Q371" s="174" t="s">
        <v>406</v>
      </c>
      <c r="R371" s="174" t="s">
        <v>1196</v>
      </c>
      <c r="S371" s="174" t="s">
        <v>881</v>
      </c>
      <c r="T371" s="174">
        <v>4</v>
      </c>
      <c r="U371" s="184"/>
    </row>
    <row r="372" spans="1:21" ht="20.100000000000001" customHeight="1" x14ac:dyDescent="0.2">
      <c r="A372" s="74">
        <v>99783</v>
      </c>
      <c r="B372" s="179" t="s">
        <v>881</v>
      </c>
      <c r="C372" s="74">
        <v>30022570</v>
      </c>
      <c r="D372" s="74" t="s">
        <v>881</v>
      </c>
      <c r="E372" s="174" t="s">
        <v>881</v>
      </c>
      <c r="F372" s="174" t="s">
        <v>20</v>
      </c>
      <c r="G372" s="174" t="s">
        <v>1058</v>
      </c>
      <c r="H372" s="174" t="s">
        <v>329</v>
      </c>
      <c r="I372" s="174" t="s">
        <v>348</v>
      </c>
      <c r="J372" s="174" t="s">
        <v>349</v>
      </c>
      <c r="K372" s="174" t="s">
        <v>334</v>
      </c>
      <c r="L372" s="174">
        <v>20061609</v>
      </c>
      <c r="M372" s="174" t="s">
        <v>73</v>
      </c>
      <c r="N372" s="174" t="s">
        <v>887</v>
      </c>
      <c r="O372" s="174" t="s">
        <v>407</v>
      </c>
      <c r="P372" s="174" t="s">
        <v>405</v>
      </c>
      <c r="Q372" s="174" t="s">
        <v>406</v>
      </c>
      <c r="R372" s="174" t="s">
        <v>1196</v>
      </c>
      <c r="S372" s="174" t="s">
        <v>881</v>
      </c>
      <c r="T372" s="174">
        <v>4</v>
      </c>
      <c r="U372" s="184"/>
    </row>
    <row r="373" spans="1:21" ht="20.100000000000001" customHeight="1" x14ac:dyDescent="0.2">
      <c r="A373" s="74">
        <v>99790</v>
      </c>
      <c r="B373" s="179" t="s">
        <v>881</v>
      </c>
      <c r="C373" s="74">
        <v>30021126</v>
      </c>
      <c r="D373" s="74" t="s">
        <v>881</v>
      </c>
      <c r="E373" s="174" t="s">
        <v>881</v>
      </c>
      <c r="F373" s="174" t="s">
        <v>335</v>
      </c>
      <c r="G373" s="174" t="s">
        <v>1063</v>
      </c>
      <c r="H373" s="174" t="s">
        <v>332</v>
      </c>
      <c r="I373" s="174" t="s">
        <v>1474</v>
      </c>
      <c r="J373" s="174" t="s">
        <v>70</v>
      </c>
      <c r="K373" s="174" t="s">
        <v>334</v>
      </c>
      <c r="L373" s="174">
        <v>20061818</v>
      </c>
      <c r="M373" s="185" t="s">
        <v>73</v>
      </c>
      <c r="N373" s="174" t="s">
        <v>634</v>
      </c>
      <c r="O373" s="174" t="s">
        <v>454</v>
      </c>
      <c r="P373" s="174" t="s">
        <v>386</v>
      </c>
      <c r="Q373" s="174" t="s">
        <v>412</v>
      </c>
      <c r="R373" s="174" t="s">
        <v>509</v>
      </c>
      <c r="S373" s="174" t="s">
        <v>881</v>
      </c>
      <c r="T373" s="174">
        <v>3</v>
      </c>
      <c r="U373" s="184"/>
    </row>
    <row r="374" spans="1:21" s="168" customFormat="1" ht="20.100000000000001" customHeight="1" x14ac:dyDescent="0.2">
      <c r="A374" s="188">
        <v>99799</v>
      </c>
      <c r="B374" s="189" t="s">
        <v>1357</v>
      </c>
      <c r="C374" s="171">
        <v>30023003</v>
      </c>
      <c r="D374" s="171">
        <v>30020216</v>
      </c>
      <c r="E374" s="168" t="s">
        <v>881</v>
      </c>
      <c r="F374" s="168" t="s">
        <v>10</v>
      </c>
      <c r="G374" s="168" t="s">
        <v>1041</v>
      </c>
      <c r="H374" s="168" t="s">
        <v>336</v>
      </c>
      <c r="I374" s="168" t="s">
        <v>1493</v>
      </c>
      <c r="J374" s="168" t="s">
        <v>84</v>
      </c>
      <c r="K374" s="168" t="s">
        <v>334</v>
      </c>
      <c r="L374" s="168">
        <v>20061408</v>
      </c>
      <c r="M374" s="168" t="s">
        <v>73</v>
      </c>
      <c r="N374" s="168" t="s">
        <v>917</v>
      </c>
      <c r="O374" s="168" t="s">
        <v>1204</v>
      </c>
      <c r="P374" s="168" t="s">
        <v>1210</v>
      </c>
      <c r="Q374" s="168" t="s">
        <v>396</v>
      </c>
      <c r="R374" s="168" t="s">
        <v>1196</v>
      </c>
      <c r="S374" s="168" t="s">
        <v>881</v>
      </c>
      <c r="T374" s="168" t="s">
        <v>881</v>
      </c>
      <c r="U374" s="187"/>
    </row>
    <row r="375" spans="1:21" s="168" customFormat="1" ht="20.100000000000001" customHeight="1" x14ac:dyDescent="0.2">
      <c r="A375" s="188">
        <v>99801</v>
      </c>
      <c r="B375" s="189" t="s">
        <v>1358</v>
      </c>
      <c r="C375" s="171">
        <v>30024166</v>
      </c>
      <c r="D375" s="171">
        <v>30020226</v>
      </c>
      <c r="E375" s="168" t="s">
        <v>881</v>
      </c>
      <c r="F375" s="168" t="s">
        <v>671</v>
      </c>
      <c r="G375" s="168" t="s">
        <v>1041</v>
      </c>
      <c r="H375" s="168" t="s">
        <v>332</v>
      </c>
      <c r="I375" s="168" t="s">
        <v>540</v>
      </c>
      <c r="J375" s="168" t="s">
        <v>676</v>
      </c>
      <c r="K375" s="168" t="s">
        <v>334</v>
      </c>
      <c r="L375" s="168" t="s">
        <v>674</v>
      </c>
      <c r="M375" s="168" t="s">
        <v>73</v>
      </c>
      <c r="N375" s="168" t="s">
        <v>675</v>
      </c>
      <c r="O375" s="168" t="s">
        <v>388</v>
      </c>
      <c r="P375" s="168" t="s">
        <v>1496</v>
      </c>
      <c r="Q375" s="168" t="s">
        <v>406</v>
      </c>
      <c r="R375" s="168" t="s">
        <v>1196</v>
      </c>
      <c r="S375" s="168" t="s">
        <v>881</v>
      </c>
      <c r="T375" s="168" t="s">
        <v>881</v>
      </c>
      <c r="U375" s="187"/>
    </row>
    <row r="376" spans="1:21" s="168" customFormat="1" ht="20.100000000000001" customHeight="1" x14ac:dyDescent="0.2">
      <c r="A376" s="188">
        <v>99802</v>
      </c>
      <c r="B376" s="189" t="s">
        <v>1359</v>
      </c>
      <c r="C376" s="171">
        <v>30024167</v>
      </c>
      <c r="D376" s="171">
        <v>30020220</v>
      </c>
      <c r="E376" s="168" t="s">
        <v>881</v>
      </c>
      <c r="F376" s="168" t="s">
        <v>335</v>
      </c>
      <c r="G376" s="168" t="s">
        <v>1053</v>
      </c>
      <c r="H376" s="168" t="s">
        <v>332</v>
      </c>
      <c r="I376" s="168" t="s">
        <v>553</v>
      </c>
      <c r="J376" s="168" t="s">
        <v>639</v>
      </c>
      <c r="K376" s="168" t="s">
        <v>334</v>
      </c>
      <c r="L376" s="168" t="s">
        <v>674</v>
      </c>
      <c r="M376" s="168" t="s">
        <v>73</v>
      </c>
      <c r="N376" s="168" t="s">
        <v>675</v>
      </c>
      <c r="O376" s="168" t="s">
        <v>411</v>
      </c>
      <c r="P376" s="168" t="s">
        <v>1496</v>
      </c>
      <c r="Q376" s="168" t="s">
        <v>406</v>
      </c>
      <c r="R376" s="168" t="s">
        <v>1196</v>
      </c>
      <c r="S376" s="168" t="s">
        <v>881</v>
      </c>
      <c r="T376" s="168" t="s">
        <v>881</v>
      </c>
      <c r="U376" s="187"/>
    </row>
    <row r="377" spans="1:21" s="168" customFormat="1" ht="20.100000000000001" customHeight="1" x14ac:dyDescent="0.2">
      <c r="A377" s="188">
        <v>99808</v>
      </c>
      <c r="B377" s="189" t="s">
        <v>1360</v>
      </c>
      <c r="C377" s="171">
        <v>30023713</v>
      </c>
      <c r="D377" s="171">
        <v>30020244</v>
      </c>
      <c r="E377" s="168" t="s">
        <v>881</v>
      </c>
      <c r="F377" s="168" t="s">
        <v>335</v>
      </c>
      <c r="G377" s="168" t="s">
        <v>987</v>
      </c>
      <c r="H377" s="168" t="s">
        <v>326</v>
      </c>
      <c r="I377" s="168" t="s">
        <v>358</v>
      </c>
      <c r="J377" s="168" t="s">
        <v>101</v>
      </c>
      <c r="K377" s="168" t="s">
        <v>334</v>
      </c>
      <c r="L377" s="168">
        <v>20061707</v>
      </c>
      <c r="M377" s="168" t="s">
        <v>73</v>
      </c>
      <c r="N377" s="168" t="s">
        <v>359</v>
      </c>
      <c r="O377" s="168" t="s">
        <v>1130</v>
      </c>
      <c r="P377" s="168" t="s">
        <v>1210</v>
      </c>
      <c r="Q377" s="168" t="s">
        <v>396</v>
      </c>
      <c r="R377" s="191" t="s">
        <v>1196</v>
      </c>
      <c r="S377" s="168" t="s">
        <v>881</v>
      </c>
      <c r="T377" s="168" t="s">
        <v>881</v>
      </c>
      <c r="U377" s="187"/>
    </row>
    <row r="378" spans="1:21" s="168" customFormat="1" ht="20.100000000000001" customHeight="1" x14ac:dyDescent="0.2">
      <c r="A378" s="188">
        <v>99809</v>
      </c>
      <c r="B378" s="189" t="s">
        <v>1361</v>
      </c>
      <c r="C378" s="171">
        <v>30023714</v>
      </c>
      <c r="D378" s="171">
        <v>30020246</v>
      </c>
      <c r="E378" s="168" t="s">
        <v>881</v>
      </c>
      <c r="F378" s="168" t="s">
        <v>335</v>
      </c>
      <c r="G378" s="168" t="s">
        <v>1041</v>
      </c>
      <c r="H378" s="168" t="s">
        <v>336</v>
      </c>
      <c r="I378" s="168" t="s">
        <v>337</v>
      </c>
      <c r="J378" s="168" t="s">
        <v>338</v>
      </c>
      <c r="K378" s="168" t="s">
        <v>334</v>
      </c>
      <c r="L378" s="168">
        <v>20061408</v>
      </c>
      <c r="M378" s="168" t="s">
        <v>73</v>
      </c>
      <c r="N378" s="168" t="s">
        <v>353</v>
      </c>
      <c r="O378" s="168" t="s">
        <v>1121</v>
      </c>
      <c r="P378" s="168" t="s">
        <v>1210</v>
      </c>
      <c r="Q378" s="168" t="s">
        <v>396</v>
      </c>
      <c r="R378" s="191" t="s">
        <v>1196</v>
      </c>
      <c r="S378" s="168" t="s">
        <v>881</v>
      </c>
      <c r="T378" s="168" t="s">
        <v>881</v>
      </c>
      <c r="U378" s="187"/>
    </row>
    <row r="379" spans="1:21" ht="20.100000000000001" customHeight="1" x14ac:dyDescent="0.2">
      <c r="A379" s="74">
        <v>99810</v>
      </c>
      <c r="B379" s="179" t="s">
        <v>881</v>
      </c>
      <c r="C379" s="74">
        <v>30022253</v>
      </c>
      <c r="D379" s="74" t="s">
        <v>881</v>
      </c>
      <c r="E379" s="174" t="s">
        <v>881</v>
      </c>
      <c r="F379" s="174" t="s">
        <v>335</v>
      </c>
      <c r="G379" s="174" t="s">
        <v>1047</v>
      </c>
      <c r="H379" s="174" t="s">
        <v>329</v>
      </c>
      <c r="I379" s="174" t="s">
        <v>553</v>
      </c>
      <c r="J379" s="174" t="s">
        <v>639</v>
      </c>
      <c r="K379" s="174" t="s">
        <v>334</v>
      </c>
      <c r="L379" s="174">
        <v>20063219</v>
      </c>
      <c r="M379" s="174" t="s">
        <v>73</v>
      </c>
      <c r="N379" s="174" t="s">
        <v>531</v>
      </c>
      <c r="O379" s="174" t="s">
        <v>410</v>
      </c>
      <c r="P379" s="174" t="s">
        <v>1496</v>
      </c>
      <c r="Q379" s="174" t="s">
        <v>406</v>
      </c>
      <c r="R379" s="174" t="s">
        <v>1196</v>
      </c>
      <c r="S379" s="174" t="s">
        <v>881</v>
      </c>
      <c r="T379" s="174">
        <v>4</v>
      </c>
      <c r="U379" s="184"/>
    </row>
    <row r="380" spans="1:21" s="168" customFormat="1" ht="20.100000000000001" customHeight="1" x14ac:dyDescent="0.2">
      <c r="A380" s="188">
        <v>99816</v>
      </c>
      <c r="B380" s="189" t="s">
        <v>1362</v>
      </c>
      <c r="C380" s="171">
        <v>30023740</v>
      </c>
      <c r="D380" s="171">
        <v>30020247</v>
      </c>
      <c r="E380" s="168" t="s">
        <v>881</v>
      </c>
      <c r="F380" s="168" t="s">
        <v>335</v>
      </c>
      <c r="G380" s="168" t="s">
        <v>1046</v>
      </c>
      <c r="H380" s="168" t="s">
        <v>329</v>
      </c>
      <c r="I380" s="168" t="s">
        <v>343</v>
      </c>
      <c r="J380" s="168" t="s">
        <v>344</v>
      </c>
      <c r="K380" s="168" t="s">
        <v>334</v>
      </c>
      <c r="L380" s="168">
        <v>20061924</v>
      </c>
      <c r="M380" s="168" t="s">
        <v>73</v>
      </c>
      <c r="N380" s="168" t="s">
        <v>345</v>
      </c>
      <c r="O380" s="168" t="s">
        <v>1199</v>
      </c>
      <c r="P380" s="168" t="s">
        <v>1496</v>
      </c>
      <c r="Q380" s="168" t="s">
        <v>406</v>
      </c>
      <c r="R380" s="191" t="s">
        <v>1196</v>
      </c>
      <c r="S380" s="168" t="s">
        <v>881</v>
      </c>
      <c r="T380" s="168" t="s">
        <v>881</v>
      </c>
      <c r="U380" s="187"/>
    </row>
    <row r="381" spans="1:21" s="168" customFormat="1" ht="20.100000000000001" customHeight="1" x14ac:dyDescent="0.2">
      <c r="A381" s="188">
        <v>99817</v>
      </c>
      <c r="B381" s="189" t="s">
        <v>1369</v>
      </c>
      <c r="C381" s="171">
        <v>30024168</v>
      </c>
      <c r="D381" s="171">
        <v>30020248</v>
      </c>
      <c r="E381" s="168" t="s">
        <v>881</v>
      </c>
      <c r="F381" s="168" t="s">
        <v>335</v>
      </c>
      <c r="G381" s="168" t="s">
        <v>1065</v>
      </c>
      <c r="H381" s="168" t="s">
        <v>329</v>
      </c>
      <c r="I381" s="168" t="s">
        <v>343</v>
      </c>
      <c r="J381" s="168" t="s">
        <v>344</v>
      </c>
      <c r="K381" s="168" t="s">
        <v>334</v>
      </c>
      <c r="L381" s="168">
        <v>20061924</v>
      </c>
      <c r="M381" s="168" t="s">
        <v>73</v>
      </c>
      <c r="N381" s="168" t="s">
        <v>655</v>
      </c>
      <c r="O381" s="168" t="s">
        <v>1199</v>
      </c>
      <c r="P381" s="168" t="s">
        <v>1496</v>
      </c>
      <c r="Q381" s="168" t="s">
        <v>406</v>
      </c>
      <c r="R381" s="168" t="s">
        <v>1196</v>
      </c>
      <c r="S381" s="168" t="s">
        <v>881</v>
      </c>
      <c r="T381" s="168" t="s">
        <v>881</v>
      </c>
      <c r="U381" s="187"/>
    </row>
    <row r="382" spans="1:21" s="168" customFormat="1" ht="20.100000000000001" customHeight="1" x14ac:dyDescent="0.2">
      <c r="A382" s="188">
        <v>99818</v>
      </c>
      <c r="B382" s="189" t="s">
        <v>1363</v>
      </c>
      <c r="C382" s="171">
        <v>30023110</v>
      </c>
      <c r="D382" s="171">
        <v>30020249</v>
      </c>
      <c r="E382" s="168" t="s">
        <v>881</v>
      </c>
      <c r="F382" s="168" t="s">
        <v>699</v>
      </c>
      <c r="G382" s="168" t="s">
        <v>1058</v>
      </c>
      <c r="H382" s="168" t="s">
        <v>329</v>
      </c>
      <c r="I382" s="168" t="s">
        <v>348</v>
      </c>
      <c r="J382" s="168" t="s">
        <v>349</v>
      </c>
      <c r="K382" s="168" t="s">
        <v>334</v>
      </c>
      <c r="L382" s="168">
        <v>20060526</v>
      </c>
      <c r="M382" s="168" t="s">
        <v>73</v>
      </c>
      <c r="N382" s="168" t="s">
        <v>902</v>
      </c>
      <c r="O382" s="168" t="s">
        <v>1111</v>
      </c>
      <c r="P382" s="168" t="s">
        <v>1511</v>
      </c>
      <c r="Q382" s="168" t="s">
        <v>406</v>
      </c>
      <c r="R382" s="168" t="s">
        <v>1196</v>
      </c>
      <c r="S382" s="168" t="s">
        <v>881</v>
      </c>
      <c r="T382" s="168" t="s">
        <v>881</v>
      </c>
      <c r="U382" s="187"/>
    </row>
    <row r="383" spans="1:21" s="168" customFormat="1" ht="20.100000000000001" customHeight="1" x14ac:dyDescent="0.2">
      <c r="A383" s="188">
        <v>99819</v>
      </c>
      <c r="B383" s="189" t="s">
        <v>1364</v>
      </c>
      <c r="C383" s="171">
        <v>30023922</v>
      </c>
      <c r="D383" s="171">
        <v>30020270</v>
      </c>
      <c r="E383" s="168" t="s">
        <v>881</v>
      </c>
      <c r="F383" s="168" t="s">
        <v>335</v>
      </c>
      <c r="G383" s="168" t="s">
        <v>1058</v>
      </c>
      <c r="H383" s="168" t="s">
        <v>329</v>
      </c>
      <c r="I383" s="168" t="s">
        <v>348</v>
      </c>
      <c r="J383" s="168" t="s">
        <v>349</v>
      </c>
      <c r="K383" s="168" t="s">
        <v>334</v>
      </c>
      <c r="L383" s="168">
        <v>20062778</v>
      </c>
      <c r="M383" s="168" t="s">
        <v>73</v>
      </c>
      <c r="N383" s="168" t="s">
        <v>339</v>
      </c>
      <c r="O383" s="168" t="s">
        <v>1116</v>
      </c>
      <c r="P383" s="168" t="s">
        <v>399</v>
      </c>
      <c r="Q383" s="168" t="s">
        <v>207</v>
      </c>
      <c r="R383" s="191" t="s">
        <v>1196</v>
      </c>
      <c r="S383" s="168" t="s">
        <v>881</v>
      </c>
      <c r="T383" s="168" t="s">
        <v>881</v>
      </c>
      <c r="U383" s="187"/>
    </row>
    <row r="384" spans="1:21" ht="20.100000000000001" customHeight="1" x14ac:dyDescent="0.2">
      <c r="A384" s="74">
        <v>99820</v>
      </c>
      <c r="B384" s="179" t="s">
        <v>881</v>
      </c>
      <c r="C384" s="74">
        <v>30021600</v>
      </c>
      <c r="D384" s="74" t="s">
        <v>881</v>
      </c>
      <c r="E384" s="174" t="s">
        <v>881</v>
      </c>
      <c r="F384" s="174" t="s">
        <v>335</v>
      </c>
      <c r="G384" s="174" t="s">
        <v>1047</v>
      </c>
      <c r="H384" s="174" t="s">
        <v>329</v>
      </c>
      <c r="I384" s="174" t="s">
        <v>553</v>
      </c>
      <c r="J384" s="174" t="s">
        <v>639</v>
      </c>
      <c r="K384" s="174" t="s">
        <v>334</v>
      </c>
      <c r="L384" s="174">
        <v>20063219</v>
      </c>
      <c r="M384" s="174" t="s">
        <v>73</v>
      </c>
      <c r="N384" s="174" t="s">
        <v>531</v>
      </c>
      <c r="O384" s="174" t="s">
        <v>410</v>
      </c>
      <c r="P384" s="174" t="s">
        <v>1496</v>
      </c>
      <c r="Q384" s="174" t="s">
        <v>406</v>
      </c>
      <c r="R384" s="174" t="s">
        <v>1196</v>
      </c>
      <c r="S384" s="174" t="s">
        <v>881</v>
      </c>
      <c r="T384" s="174">
        <v>4</v>
      </c>
      <c r="U384" s="184"/>
    </row>
    <row r="385" spans="1:21" ht="20.100000000000001" customHeight="1" x14ac:dyDescent="0.2">
      <c r="A385" s="74">
        <v>99830</v>
      </c>
      <c r="B385" s="179" t="s">
        <v>881</v>
      </c>
      <c r="C385" s="74">
        <v>30021601</v>
      </c>
      <c r="D385" s="74" t="s">
        <v>881</v>
      </c>
      <c r="E385" s="174" t="s">
        <v>881</v>
      </c>
      <c r="F385" s="174" t="s">
        <v>335</v>
      </c>
      <c r="G385" s="174" t="s">
        <v>1047</v>
      </c>
      <c r="H385" s="174" t="s">
        <v>332</v>
      </c>
      <c r="I385" s="174" t="s">
        <v>1451</v>
      </c>
      <c r="J385" s="174" t="s">
        <v>92</v>
      </c>
      <c r="K385" s="174" t="s">
        <v>334</v>
      </c>
      <c r="L385" s="174">
        <v>20062458</v>
      </c>
      <c r="M385" s="185" t="s">
        <v>73</v>
      </c>
      <c r="N385" s="174" t="s">
        <v>255</v>
      </c>
      <c r="O385" s="174" t="s">
        <v>479</v>
      </c>
      <c r="P385" s="174" t="s">
        <v>461</v>
      </c>
      <c r="Q385" s="174" t="s">
        <v>412</v>
      </c>
      <c r="R385" s="174" t="s">
        <v>509</v>
      </c>
      <c r="S385" s="174" t="s">
        <v>881</v>
      </c>
      <c r="T385" s="174">
        <v>3</v>
      </c>
      <c r="U385" s="184"/>
    </row>
    <row r="386" spans="1:21" ht="20.100000000000001" customHeight="1" x14ac:dyDescent="0.2">
      <c r="A386" s="74">
        <v>99831</v>
      </c>
      <c r="B386" s="179" t="s">
        <v>881</v>
      </c>
      <c r="C386" s="74">
        <v>30022550</v>
      </c>
      <c r="D386" s="74" t="s">
        <v>881</v>
      </c>
      <c r="E386" s="174" t="s">
        <v>881</v>
      </c>
      <c r="F386" s="174" t="s">
        <v>20</v>
      </c>
      <c r="G386" s="174" t="s">
        <v>1058</v>
      </c>
      <c r="H386" s="174" t="s">
        <v>329</v>
      </c>
      <c r="I386" s="174" t="s">
        <v>348</v>
      </c>
      <c r="J386" s="174" t="s">
        <v>349</v>
      </c>
      <c r="K386" s="174" t="s">
        <v>334</v>
      </c>
      <c r="L386" s="174">
        <v>20061609</v>
      </c>
      <c r="M386" s="174" t="s">
        <v>73</v>
      </c>
      <c r="N386" s="174" t="s">
        <v>887</v>
      </c>
      <c r="O386" s="174" t="s">
        <v>407</v>
      </c>
      <c r="P386" s="174" t="s">
        <v>405</v>
      </c>
      <c r="Q386" s="174" t="s">
        <v>406</v>
      </c>
      <c r="R386" s="174" t="s">
        <v>1196</v>
      </c>
      <c r="S386" s="174" t="s">
        <v>881</v>
      </c>
      <c r="T386" s="174">
        <v>4</v>
      </c>
      <c r="U386" s="184"/>
    </row>
    <row r="387" spans="1:21" s="168" customFormat="1" ht="20.100000000000001" customHeight="1" x14ac:dyDescent="0.2">
      <c r="A387" s="171">
        <v>99832</v>
      </c>
      <c r="B387" s="181" t="s">
        <v>881</v>
      </c>
      <c r="C387" s="171">
        <v>30022571</v>
      </c>
      <c r="D387" s="171" t="s">
        <v>881</v>
      </c>
      <c r="E387" s="168" t="s">
        <v>881</v>
      </c>
      <c r="F387" s="168" t="s">
        <v>21</v>
      </c>
      <c r="G387" s="168" t="s">
        <v>1058</v>
      </c>
      <c r="H387" s="168" t="s">
        <v>329</v>
      </c>
      <c r="I387" s="168" t="s">
        <v>348</v>
      </c>
      <c r="J387" s="168" t="s">
        <v>349</v>
      </c>
      <c r="K387" s="168" t="s">
        <v>334</v>
      </c>
      <c r="L387" s="168">
        <v>20062264</v>
      </c>
      <c r="M387" s="168" t="s">
        <v>73</v>
      </c>
      <c r="N387" s="168" t="s">
        <v>903</v>
      </c>
      <c r="O387" s="168" t="s">
        <v>389</v>
      </c>
      <c r="P387" s="168" t="s">
        <v>720</v>
      </c>
      <c r="Q387" s="168" t="s">
        <v>721</v>
      </c>
      <c r="R387" s="168" t="s">
        <v>509</v>
      </c>
      <c r="S387" s="168" t="s">
        <v>881</v>
      </c>
      <c r="T387" s="168">
        <v>4</v>
      </c>
      <c r="U387" s="187"/>
    </row>
    <row r="388" spans="1:21" ht="20.100000000000001" customHeight="1" x14ac:dyDescent="0.2">
      <c r="A388" s="74">
        <v>99841</v>
      </c>
      <c r="B388" s="179" t="s">
        <v>881</v>
      </c>
      <c r="C388" s="74">
        <v>30023166</v>
      </c>
      <c r="D388" s="74" t="s">
        <v>881</v>
      </c>
      <c r="E388" s="174" t="s">
        <v>881</v>
      </c>
      <c r="F388" s="174" t="s">
        <v>335</v>
      </c>
      <c r="G388" s="174" t="s">
        <v>1048</v>
      </c>
      <c r="H388" s="174" t="s">
        <v>330</v>
      </c>
      <c r="I388" s="174" t="s">
        <v>517</v>
      </c>
      <c r="J388" s="174" t="s">
        <v>356</v>
      </c>
      <c r="K388" s="174" t="s">
        <v>334</v>
      </c>
      <c r="L388" s="174">
        <v>20063241</v>
      </c>
      <c r="M388" s="185" t="s">
        <v>73</v>
      </c>
      <c r="N388" s="174" t="s">
        <v>634</v>
      </c>
      <c r="O388" s="174" t="s">
        <v>381</v>
      </c>
      <c r="P388" s="174" t="s">
        <v>386</v>
      </c>
      <c r="Q388" s="174" t="s">
        <v>412</v>
      </c>
      <c r="R388" s="174" t="s">
        <v>509</v>
      </c>
      <c r="S388" s="174" t="s">
        <v>881</v>
      </c>
      <c r="T388" s="174">
        <v>3</v>
      </c>
      <c r="U388" s="184"/>
    </row>
    <row r="389" spans="1:21" ht="20.100000000000001" customHeight="1" x14ac:dyDescent="0.2">
      <c r="A389" s="74">
        <v>99850</v>
      </c>
      <c r="B389" s="179" t="s">
        <v>881</v>
      </c>
      <c r="C389" s="74">
        <v>30021602</v>
      </c>
      <c r="D389" s="74" t="s">
        <v>881</v>
      </c>
      <c r="E389" s="174" t="s">
        <v>881</v>
      </c>
      <c r="F389" s="174" t="s">
        <v>58</v>
      </c>
      <c r="G389" s="174" t="s">
        <v>987</v>
      </c>
      <c r="H389" s="174" t="s">
        <v>336</v>
      </c>
      <c r="I389" s="174" t="s">
        <v>606</v>
      </c>
      <c r="J389" s="174" t="s">
        <v>94</v>
      </c>
      <c r="K389" s="174" t="s">
        <v>334</v>
      </c>
      <c r="L389" s="174">
        <v>20062458</v>
      </c>
      <c r="M389" s="185" t="s">
        <v>73</v>
      </c>
      <c r="N389" s="174" t="s">
        <v>667</v>
      </c>
      <c r="O389" s="174" t="s">
        <v>455</v>
      </c>
      <c r="P389" s="174" t="s">
        <v>386</v>
      </c>
      <c r="Q389" s="174" t="s">
        <v>412</v>
      </c>
      <c r="R389" s="174" t="s">
        <v>509</v>
      </c>
      <c r="S389" s="174" t="s">
        <v>881</v>
      </c>
      <c r="T389" s="174">
        <v>3</v>
      </c>
      <c r="U389" s="184"/>
    </row>
    <row r="390" spans="1:21" ht="20.100000000000001" customHeight="1" x14ac:dyDescent="0.2">
      <c r="A390" s="74">
        <v>99854</v>
      </c>
      <c r="B390" s="179" t="s">
        <v>881</v>
      </c>
      <c r="C390" s="74">
        <v>30022779</v>
      </c>
      <c r="D390" s="74" t="s">
        <v>881</v>
      </c>
      <c r="E390" s="174" t="s">
        <v>881</v>
      </c>
      <c r="F390" s="174" t="s">
        <v>335</v>
      </c>
      <c r="G390" s="174" t="s">
        <v>1041</v>
      </c>
      <c r="H390" s="174" t="s">
        <v>330</v>
      </c>
      <c r="I390" s="174" t="s">
        <v>342</v>
      </c>
      <c r="J390" s="174" t="s">
        <v>324</v>
      </c>
      <c r="K390" s="174" t="s">
        <v>334</v>
      </c>
      <c r="L390" s="174">
        <v>20061818</v>
      </c>
      <c r="M390" s="185" t="s">
        <v>73</v>
      </c>
      <c r="N390" s="174" t="s">
        <v>255</v>
      </c>
      <c r="O390" s="174" t="s">
        <v>463</v>
      </c>
      <c r="P390" s="174" t="s">
        <v>461</v>
      </c>
      <c r="Q390" s="174" t="s">
        <v>412</v>
      </c>
      <c r="R390" s="174" t="s">
        <v>509</v>
      </c>
      <c r="S390" s="174" t="s">
        <v>881</v>
      </c>
      <c r="T390" s="174">
        <v>3</v>
      </c>
      <c r="U390" s="184"/>
    </row>
    <row r="391" spans="1:21" ht="20.100000000000001" customHeight="1" x14ac:dyDescent="0.2">
      <c r="A391" s="74">
        <v>99855</v>
      </c>
      <c r="B391" s="179" t="s">
        <v>881</v>
      </c>
      <c r="C391" s="74">
        <v>30021347</v>
      </c>
      <c r="D391" s="74" t="s">
        <v>881</v>
      </c>
      <c r="E391" s="174" t="s">
        <v>881</v>
      </c>
      <c r="F391" s="174" t="s">
        <v>335</v>
      </c>
      <c r="G391" s="174" t="s">
        <v>987</v>
      </c>
      <c r="H391" s="174" t="s">
        <v>336</v>
      </c>
      <c r="I391" s="174" t="s">
        <v>342</v>
      </c>
      <c r="J391" s="174" t="s">
        <v>324</v>
      </c>
      <c r="K391" s="174" t="s">
        <v>334</v>
      </c>
      <c r="L391" s="174">
        <v>20060556</v>
      </c>
      <c r="M391" s="185" t="s">
        <v>73</v>
      </c>
      <c r="N391" s="174" t="s">
        <v>535</v>
      </c>
      <c r="O391" s="174" t="s">
        <v>463</v>
      </c>
      <c r="P391" s="174" t="s">
        <v>461</v>
      </c>
      <c r="Q391" s="174" t="s">
        <v>412</v>
      </c>
      <c r="R391" s="174" t="s">
        <v>509</v>
      </c>
      <c r="S391" s="174" t="s">
        <v>881</v>
      </c>
      <c r="T391" s="174">
        <v>3</v>
      </c>
      <c r="U391" s="184"/>
    </row>
    <row r="392" spans="1:21" ht="20.100000000000001" customHeight="1" x14ac:dyDescent="0.2">
      <c r="A392" s="74">
        <v>99856</v>
      </c>
      <c r="B392" s="179" t="s">
        <v>881</v>
      </c>
      <c r="C392" s="74">
        <v>30022572</v>
      </c>
      <c r="D392" s="74" t="s">
        <v>881</v>
      </c>
      <c r="E392" s="174" t="s">
        <v>881</v>
      </c>
      <c r="F392" s="174" t="s">
        <v>335</v>
      </c>
      <c r="G392" s="174" t="s">
        <v>987</v>
      </c>
      <c r="H392" s="174" t="s">
        <v>330</v>
      </c>
      <c r="I392" s="174" t="s">
        <v>517</v>
      </c>
      <c r="J392" s="174" t="s">
        <v>356</v>
      </c>
      <c r="K392" s="174" t="s">
        <v>334</v>
      </c>
      <c r="L392" s="174">
        <v>20062441</v>
      </c>
      <c r="M392" s="185" t="s">
        <v>73</v>
      </c>
      <c r="N392" s="174" t="s">
        <v>255</v>
      </c>
      <c r="O392" s="174" t="s">
        <v>463</v>
      </c>
      <c r="P392" s="174" t="s">
        <v>461</v>
      </c>
      <c r="Q392" s="174" t="s">
        <v>412</v>
      </c>
      <c r="R392" s="174" t="s">
        <v>509</v>
      </c>
      <c r="S392" s="174" t="s">
        <v>881</v>
      </c>
      <c r="T392" s="174">
        <v>3</v>
      </c>
      <c r="U392" s="184"/>
    </row>
    <row r="393" spans="1:21" ht="20.100000000000001" customHeight="1" x14ac:dyDescent="0.2">
      <c r="A393" s="74">
        <v>99857</v>
      </c>
      <c r="B393" s="179" t="s">
        <v>881</v>
      </c>
      <c r="C393" s="74">
        <v>30022255</v>
      </c>
      <c r="D393" s="74" t="s">
        <v>881</v>
      </c>
      <c r="E393" s="174" t="s">
        <v>881</v>
      </c>
      <c r="F393" s="174" t="s">
        <v>335</v>
      </c>
      <c r="G393" s="174" t="s">
        <v>987</v>
      </c>
      <c r="H393" s="174" t="s">
        <v>330</v>
      </c>
      <c r="I393" s="174" t="s">
        <v>342</v>
      </c>
      <c r="J393" s="174" t="s">
        <v>324</v>
      </c>
      <c r="K393" s="174" t="s">
        <v>334</v>
      </c>
      <c r="L393" s="174">
        <v>20060556</v>
      </c>
      <c r="M393" s="185" t="s">
        <v>73</v>
      </c>
      <c r="N393" s="174" t="s">
        <v>255</v>
      </c>
      <c r="O393" s="174" t="s">
        <v>460</v>
      </c>
      <c r="P393" s="174" t="s">
        <v>461</v>
      </c>
      <c r="Q393" s="174" t="s">
        <v>412</v>
      </c>
      <c r="R393" s="174" t="s">
        <v>509</v>
      </c>
      <c r="S393" s="174" t="s">
        <v>881</v>
      </c>
      <c r="T393" s="174">
        <v>3</v>
      </c>
      <c r="U393" s="184"/>
    </row>
    <row r="394" spans="1:21" ht="20.100000000000001" customHeight="1" x14ac:dyDescent="0.2">
      <c r="A394" s="74">
        <v>99859</v>
      </c>
      <c r="B394" s="179" t="s">
        <v>881</v>
      </c>
      <c r="C394" s="74">
        <v>30022256</v>
      </c>
      <c r="D394" s="74" t="s">
        <v>881</v>
      </c>
      <c r="E394" s="174" t="s">
        <v>881</v>
      </c>
      <c r="F394" s="174" t="s">
        <v>335</v>
      </c>
      <c r="G394" s="174" t="s">
        <v>987</v>
      </c>
      <c r="H394" s="174" t="s">
        <v>330</v>
      </c>
      <c r="I394" s="174" t="s">
        <v>517</v>
      </c>
      <c r="J394" s="174" t="s">
        <v>356</v>
      </c>
      <c r="K394" s="174" t="s">
        <v>334</v>
      </c>
      <c r="L394" s="174">
        <v>20060556</v>
      </c>
      <c r="M394" s="185" t="s">
        <v>73</v>
      </c>
      <c r="N394" s="174" t="s">
        <v>255</v>
      </c>
      <c r="O394" s="174" t="s">
        <v>460</v>
      </c>
      <c r="P394" s="174" t="s">
        <v>461</v>
      </c>
      <c r="Q394" s="174" t="s">
        <v>412</v>
      </c>
      <c r="R394" s="174" t="s">
        <v>509</v>
      </c>
      <c r="S394" s="174" t="s">
        <v>881</v>
      </c>
      <c r="T394" s="174">
        <v>3</v>
      </c>
      <c r="U394" s="184"/>
    </row>
    <row r="395" spans="1:21" ht="20.100000000000001" customHeight="1" x14ac:dyDescent="0.2">
      <c r="A395" s="74">
        <v>99860</v>
      </c>
      <c r="B395" s="179" t="s">
        <v>881</v>
      </c>
      <c r="C395" s="74">
        <v>30022314</v>
      </c>
      <c r="D395" s="74" t="s">
        <v>881</v>
      </c>
      <c r="E395" s="174" t="s">
        <v>881</v>
      </c>
      <c r="F395" s="174" t="s">
        <v>21</v>
      </c>
      <c r="G395" s="174" t="s">
        <v>1058</v>
      </c>
      <c r="H395" s="174" t="s">
        <v>329</v>
      </c>
      <c r="I395" s="174" t="s">
        <v>354</v>
      </c>
      <c r="J395" s="174" t="s">
        <v>246</v>
      </c>
      <c r="K395" s="174" t="s">
        <v>334</v>
      </c>
      <c r="L395" s="174">
        <v>20062524</v>
      </c>
      <c r="M395" s="174" t="s">
        <v>73</v>
      </c>
      <c r="N395" s="174" t="s">
        <v>887</v>
      </c>
      <c r="O395" s="174" t="s">
        <v>408</v>
      </c>
      <c r="P395" s="174" t="s">
        <v>1507</v>
      </c>
      <c r="Q395" s="174" t="s">
        <v>384</v>
      </c>
      <c r="R395" s="174" t="s">
        <v>1196</v>
      </c>
      <c r="S395" s="174" t="s">
        <v>881</v>
      </c>
      <c r="T395" s="174">
        <v>2</v>
      </c>
      <c r="U395" s="184"/>
    </row>
    <row r="396" spans="1:21" ht="20.100000000000001" customHeight="1" x14ac:dyDescent="0.2">
      <c r="A396" s="74">
        <v>99861</v>
      </c>
      <c r="B396" s="179" t="s">
        <v>881</v>
      </c>
      <c r="C396" s="74">
        <v>30024158</v>
      </c>
      <c r="D396" s="74" t="s">
        <v>881</v>
      </c>
      <c r="E396" s="174" t="s">
        <v>872</v>
      </c>
      <c r="F396" s="174" t="s">
        <v>335</v>
      </c>
      <c r="G396" s="174" t="s">
        <v>1046</v>
      </c>
      <c r="H396" s="174" t="s">
        <v>329</v>
      </c>
      <c r="I396" s="174" t="s">
        <v>348</v>
      </c>
      <c r="J396" s="174" t="s">
        <v>349</v>
      </c>
      <c r="K396" s="174" t="s">
        <v>334</v>
      </c>
      <c r="L396" s="174">
        <v>20060376</v>
      </c>
      <c r="M396" s="185" t="s">
        <v>73</v>
      </c>
      <c r="N396" s="174" t="s">
        <v>881</v>
      </c>
      <c r="O396" s="174" t="s">
        <v>398</v>
      </c>
      <c r="P396" s="174" t="s">
        <v>399</v>
      </c>
      <c r="Q396" s="174" t="s">
        <v>207</v>
      </c>
      <c r="R396" s="174" t="s">
        <v>1196</v>
      </c>
      <c r="S396" s="174" t="s">
        <v>881</v>
      </c>
      <c r="T396" s="174" t="s">
        <v>633</v>
      </c>
      <c r="U396" s="184"/>
    </row>
    <row r="397" spans="1:21" ht="20.100000000000001" customHeight="1" x14ac:dyDescent="0.2">
      <c r="A397" s="74">
        <v>99862</v>
      </c>
      <c r="B397" s="179" t="s">
        <v>881</v>
      </c>
      <c r="C397" s="74">
        <v>30022553</v>
      </c>
      <c r="D397" s="74" t="s">
        <v>881</v>
      </c>
      <c r="E397" s="174" t="s">
        <v>881</v>
      </c>
      <c r="F397" s="174" t="s">
        <v>335</v>
      </c>
      <c r="G397" s="174" t="s">
        <v>1047</v>
      </c>
      <c r="H397" s="174" t="s">
        <v>332</v>
      </c>
      <c r="I397" s="174" t="s">
        <v>1452</v>
      </c>
      <c r="J397" s="174" t="s">
        <v>15</v>
      </c>
      <c r="K397" s="174" t="s">
        <v>334</v>
      </c>
      <c r="L397" s="174">
        <v>20063219</v>
      </c>
      <c r="M397" s="174" t="s">
        <v>73</v>
      </c>
      <c r="N397" s="174" t="s">
        <v>531</v>
      </c>
      <c r="O397" s="174" t="s">
        <v>388</v>
      </c>
      <c r="P397" s="174" t="s">
        <v>1496</v>
      </c>
      <c r="Q397" s="174" t="s">
        <v>406</v>
      </c>
      <c r="R397" s="174" t="s">
        <v>1196</v>
      </c>
      <c r="S397" s="174" t="s">
        <v>881</v>
      </c>
      <c r="T397" s="174">
        <v>4</v>
      </c>
      <c r="U397" s="184"/>
    </row>
    <row r="398" spans="1:21" ht="20.100000000000001" customHeight="1" x14ac:dyDescent="0.2">
      <c r="A398" s="74">
        <v>99863</v>
      </c>
      <c r="B398" s="179" t="s">
        <v>881</v>
      </c>
      <c r="C398" s="74">
        <v>30022226</v>
      </c>
      <c r="D398" s="74" t="s">
        <v>881</v>
      </c>
      <c r="E398" s="174" t="s">
        <v>881</v>
      </c>
      <c r="F398" s="174" t="s">
        <v>335</v>
      </c>
      <c r="G398" s="174" t="s">
        <v>1047</v>
      </c>
      <c r="H398" s="174" t="s">
        <v>332</v>
      </c>
      <c r="I398" s="174" t="s">
        <v>351</v>
      </c>
      <c r="J398" s="174" t="s">
        <v>37</v>
      </c>
      <c r="K398" s="174" t="s">
        <v>334</v>
      </c>
      <c r="L398" s="174">
        <v>20060809</v>
      </c>
      <c r="M398" s="185" t="s">
        <v>73</v>
      </c>
      <c r="N398" s="174" t="s">
        <v>634</v>
      </c>
      <c r="O398" s="174" t="s">
        <v>420</v>
      </c>
      <c r="P398" s="174" t="s">
        <v>386</v>
      </c>
      <c r="Q398" s="174" t="s">
        <v>412</v>
      </c>
      <c r="R398" s="174" t="s">
        <v>509</v>
      </c>
      <c r="S398" s="174" t="s">
        <v>881</v>
      </c>
      <c r="T398" s="174">
        <v>3</v>
      </c>
      <c r="U398" s="184"/>
    </row>
    <row r="399" spans="1:21" ht="20.100000000000001" customHeight="1" x14ac:dyDescent="0.2">
      <c r="A399" s="74">
        <v>99867</v>
      </c>
      <c r="B399" s="179" t="s">
        <v>881</v>
      </c>
      <c r="C399" s="74">
        <v>30021827</v>
      </c>
      <c r="D399" s="74" t="s">
        <v>881</v>
      </c>
      <c r="E399" s="174" t="s">
        <v>881</v>
      </c>
      <c r="F399" s="174" t="s">
        <v>335</v>
      </c>
      <c r="G399" s="174" t="s">
        <v>1041</v>
      </c>
      <c r="H399" s="174" t="s">
        <v>330</v>
      </c>
      <c r="I399" s="174" t="s">
        <v>342</v>
      </c>
      <c r="J399" s="174" t="s">
        <v>324</v>
      </c>
      <c r="K399" s="174" t="s">
        <v>334</v>
      </c>
      <c r="L399" s="174">
        <v>20060556</v>
      </c>
      <c r="M399" s="185" t="s">
        <v>73</v>
      </c>
      <c r="N399" s="174" t="s">
        <v>634</v>
      </c>
      <c r="O399" s="174" t="s">
        <v>456</v>
      </c>
      <c r="P399" s="174" t="s">
        <v>386</v>
      </c>
      <c r="Q399" s="174" t="s">
        <v>412</v>
      </c>
      <c r="R399" s="174" t="s">
        <v>509</v>
      </c>
      <c r="S399" s="174" t="s">
        <v>881</v>
      </c>
      <c r="T399" s="174">
        <v>3</v>
      </c>
      <c r="U399" s="184"/>
    </row>
    <row r="400" spans="1:21" ht="20.100000000000001" customHeight="1" x14ac:dyDescent="0.2">
      <c r="A400" s="74">
        <v>99868</v>
      </c>
      <c r="B400" s="179" t="s">
        <v>881</v>
      </c>
      <c r="C400" s="74">
        <v>30022005</v>
      </c>
      <c r="D400" s="74" t="s">
        <v>881</v>
      </c>
      <c r="E400" s="174" t="s">
        <v>881</v>
      </c>
      <c r="F400" s="174" t="s">
        <v>335</v>
      </c>
      <c r="G400" s="174" t="s">
        <v>987</v>
      </c>
      <c r="H400" s="174" t="s">
        <v>330</v>
      </c>
      <c r="I400" s="174" t="s">
        <v>342</v>
      </c>
      <c r="J400" s="174" t="s">
        <v>324</v>
      </c>
      <c r="K400" s="174" t="s">
        <v>334</v>
      </c>
      <c r="L400" s="174">
        <v>20062441</v>
      </c>
      <c r="M400" s="185" t="s">
        <v>73</v>
      </c>
      <c r="N400" s="174" t="s">
        <v>634</v>
      </c>
      <c r="O400" s="174" t="s">
        <v>456</v>
      </c>
      <c r="P400" s="174" t="s">
        <v>386</v>
      </c>
      <c r="Q400" s="174" t="s">
        <v>412</v>
      </c>
      <c r="R400" s="174" t="s">
        <v>509</v>
      </c>
      <c r="S400" s="174" t="s">
        <v>881</v>
      </c>
      <c r="T400" s="174">
        <v>3</v>
      </c>
      <c r="U400" s="184"/>
    </row>
    <row r="401" spans="1:21" ht="20.100000000000001" customHeight="1" x14ac:dyDescent="0.2">
      <c r="A401" s="74">
        <v>99869</v>
      </c>
      <c r="B401" s="179" t="s">
        <v>881</v>
      </c>
      <c r="C401" s="74">
        <v>30022227</v>
      </c>
      <c r="D401" s="74" t="s">
        <v>881</v>
      </c>
      <c r="E401" s="174" t="s">
        <v>881</v>
      </c>
      <c r="F401" s="174" t="s">
        <v>335</v>
      </c>
      <c r="G401" s="174" t="s">
        <v>987</v>
      </c>
      <c r="H401" s="174" t="s">
        <v>330</v>
      </c>
      <c r="I401" s="174" t="s">
        <v>517</v>
      </c>
      <c r="J401" s="174" t="s">
        <v>356</v>
      </c>
      <c r="K401" s="174" t="s">
        <v>334</v>
      </c>
      <c r="L401" s="174">
        <v>20060556</v>
      </c>
      <c r="M401" s="185" t="s">
        <v>73</v>
      </c>
      <c r="N401" s="174" t="s">
        <v>634</v>
      </c>
      <c r="O401" s="174" t="s">
        <v>456</v>
      </c>
      <c r="P401" s="174" t="s">
        <v>386</v>
      </c>
      <c r="Q401" s="174" t="s">
        <v>412</v>
      </c>
      <c r="R401" s="174" t="s">
        <v>509</v>
      </c>
      <c r="S401" s="174" t="s">
        <v>881</v>
      </c>
      <c r="T401" s="174">
        <v>3</v>
      </c>
      <c r="U401" s="184"/>
    </row>
    <row r="402" spans="1:21" ht="20.100000000000001" customHeight="1" x14ac:dyDescent="0.2">
      <c r="A402" s="74">
        <v>99870</v>
      </c>
      <c r="B402" s="179" t="s">
        <v>881</v>
      </c>
      <c r="C402" s="74">
        <v>30022315</v>
      </c>
      <c r="D402" s="74" t="s">
        <v>881</v>
      </c>
      <c r="E402" s="174" t="s">
        <v>881</v>
      </c>
      <c r="F402" s="174" t="s">
        <v>21</v>
      </c>
      <c r="G402" s="174" t="s">
        <v>1058</v>
      </c>
      <c r="H402" s="174" t="s">
        <v>329</v>
      </c>
      <c r="I402" s="174" t="s">
        <v>354</v>
      </c>
      <c r="J402" s="174" t="s">
        <v>246</v>
      </c>
      <c r="K402" s="174" t="s">
        <v>334</v>
      </c>
      <c r="L402" s="174">
        <v>20062524</v>
      </c>
      <c r="M402" s="174" t="s">
        <v>73</v>
      </c>
      <c r="N402" s="174" t="s">
        <v>887</v>
      </c>
      <c r="O402" s="174" t="s">
        <v>408</v>
      </c>
      <c r="P402" s="174" t="s">
        <v>1507</v>
      </c>
      <c r="Q402" s="174" t="s">
        <v>384</v>
      </c>
      <c r="R402" s="174" t="s">
        <v>1196</v>
      </c>
      <c r="S402" s="174" t="s">
        <v>881</v>
      </c>
      <c r="T402" s="174">
        <v>2</v>
      </c>
      <c r="U402" s="184"/>
    </row>
    <row r="403" spans="1:21" ht="20.100000000000001" customHeight="1" x14ac:dyDescent="0.2">
      <c r="A403" s="74">
        <v>99871</v>
      </c>
      <c r="B403" s="179" t="s">
        <v>881</v>
      </c>
      <c r="C403" s="74">
        <v>30022006</v>
      </c>
      <c r="D403" s="74" t="s">
        <v>881</v>
      </c>
      <c r="E403" s="174" t="s">
        <v>881</v>
      </c>
      <c r="F403" s="174" t="s">
        <v>335</v>
      </c>
      <c r="G403" s="174" t="s">
        <v>987</v>
      </c>
      <c r="H403" s="174" t="s">
        <v>330</v>
      </c>
      <c r="I403" s="174" t="s">
        <v>342</v>
      </c>
      <c r="J403" s="174" t="s">
        <v>324</v>
      </c>
      <c r="K403" s="174" t="s">
        <v>334</v>
      </c>
      <c r="L403" s="174">
        <v>20060556</v>
      </c>
      <c r="M403" s="185" t="s">
        <v>73</v>
      </c>
      <c r="N403" s="174" t="s">
        <v>634</v>
      </c>
      <c r="O403" s="139" t="s">
        <v>381</v>
      </c>
      <c r="P403" s="139" t="s">
        <v>386</v>
      </c>
      <c r="Q403" s="174" t="s">
        <v>412</v>
      </c>
      <c r="R403" s="174" t="s">
        <v>509</v>
      </c>
      <c r="S403" s="174" t="s">
        <v>881</v>
      </c>
      <c r="T403" s="174">
        <v>3</v>
      </c>
      <c r="U403" s="184"/>
    </row>
    <row r="404" spans="1:21" ht="20.100000000000001" customHeight="1" x14ac:dyDescent="0.2">
      <c r="A404" s="74">
        <v>99874</v>
      </c>
      <c r="B404" s="179" t="s">
        <v>881</v>
      </c>
      <c r="C404" s="74">
        <v>30022573</v>
      </c>
      <c r="D404" s="74" t="s">
        <v>881</v>
      </c>
      <c r="E404" s="174" t="s">
        <v>881</v>
      </c>
      <c r="F404" s="174" t="s">
        <v>335</v>
      </c>
      <c r="G404" s="174" t="s">
        <v>1046</v>
      </c>
      <c r="H404" s="174" t="s">
        <v>329</v>
      </c>
      <c r="I404" s="174" t="s">
        <v>553</v>
      </c>
      <c r="J404" s="174" t="s">
        <v>639</v>
      </c>
      <c r="K404" s="174" t="s">
        <v>334</v>
      </c>
      <c r="L404" s="174">
        <v>20062411</v>
      </c>
      <c r="M404" s="174" t="s">
        <v>73</v>
      </c>
      <c r="N404" s="174" t="s">
        <v>888</v>
      </c>
      <c r="O404" s="174" t="s">
        <v>411</v>
      </c>
      <c r="P404" s="174" t="s">
        <v>1496</v>
      </c>
      <c r="Q404" s="174" t="s">
        <v>406</v>
      </c>
      <c r="R404" s="174" t="s">
        <v>1196</v>
      </c>
      <c r="S404" s="174" t="s">
        <v>881</v>
      </c>
      <c r="T404" s="174">
        <v>4</v>
      </c>
      <c r="U404" s="184"/>
    </row>
    <row r="405" spans="1:21" ht="20.100000000000001" customHeight="1" x14ac:dyDescent="0.2">
      <c r="A405" s="74">
        <v>99876</v>
      </c>
      <c r="B405" s="179" t="s">
        <v>881</v>
      </c>
      <c r="C405" s="74">
        <v>30022574</v>
      </c>
      <c r="D405" s="74" t="s">
        <v>881</v>
      </c>
      <c r="E405" s="174" t="s">
        <v>881</v>
      </c>
      <c r="F405" s="174" t="s">
        <v>335</v>
      </c>
      <c r="G405" s="174" t="s">
        <v>1066</v>
      </c>
      <c r="H405" s="174" t="s">
        <v>332</v>
      </c>
      <c r="I405" s="174" t="s">
        <v>553</v>
      </c>
      <c r="J405" s="174" t="s">
        <v>639</v>
      </c>
      <c r="K405" s="174" t="s">
        <v>334</v>
      </c>
      <c r="L405" s="174">
        <v>20063219</v>
      </c>
      <c r="M405" s="174" t="s">
        <v>73</v>
      </c>
      <c r="N405" s="174" t="s">
        <v>531</v>
      </c>
      <c r="O405" s="174" t="s">
        <v>411</v>
      </c>
      <c r="P405" s="174" t="s">
        <v>1496</v>
      </c>
      <c r="Q405" s="174" t="s">
        <v>406</v>
      </c>
      <c r="R405" s="174" t="s">
        <v>1196</v>
      </c>
      <c r="S405" s="174" t="s">
        <v>881</v>
      </c>
      <c r="T405" s="174">
        <v>4</v>
      </c>
      <c r="U405" s="184"/>
    </row>
    <row r="406" spans="1:21" ht="20.100000000000001" customHeight="1" x14ac:dyDescent="0.2">
      <c r="A406" s="74">
        <v>99880</v>
      </c>
      <c r="B406" s="179" t="s">
        <v>881</v>
      </c>
      <c r="C406" s="74">
        <v>30022551</v>
      </c>
      <c r="D406" s="74" t="s">
        <v>881</v>
      </c>
      <c r="E406" s="174" t="s">
        <v>881</v>
      </c>
      <c r="F406" s="174" t="s">
        <v>58</v>
      </c>
      <c r="G406" s="174" t="s">
        <v>1053</v>
      </c>
      <c r="H406" s="174" t="s">
        <v>332</v>
      </c>
      <c r="I406" s="174" t="s">
        <v>1477</v>
      </c>
      <c r="J406" s="174" t="s">
        <v>67</v>
      </c>
      <c r="K406" s="174" t="s">
        <v>334</v>
      </c>
      <c r="L406" s="174">
        <v>20062458</v>
      </c>
      <c r="M406" s="185" t="s">
        <v>73</v>
      </c>
      <c r="N406" s="174" t="s">
        <v>634</v>
      </c>
      <c r="O406" s="174" t="s">
        <v>453</v>
      </c>
      <c r="P406" s="174" t="s">
        <v>386</v>
      </c>
      <c r="Q406" s="174" t="s">
        <v>412</v>
      </c>
      <c r="R406" s="174" t="s">
        <v>509</v>
      </c>
      <c r="S406" s="174" t="s">
        <v>881</v>
      </c>
      <c r="T406" s="174">
        <v>3</v>
      </c>
      <c r="U406" s="184"/>
    </row>
    <row r="407" spans="1:21" ht="20.100000000000001" customHeight="1" x14ac:dyDescent="0.2">
      <c r="A407" s="74" t="s">
        <v>1226</v>
      </c>
      <c r="B407" s="179" t="s">
        <v>881</v>
      </c>
      <c r="C407" s="74">
        <v>30024502</v>
      </c>
      <c r="D407" s="74" t="s">
        <v>881</v>
      </c>
      <c r="E407" s="174" t="s">
        <v>881</v>
      </c>
      <c r="F407" s="174" t="s">
        <v>58</v>
      </c>
      <c r="G407" s="174" t="s">
        <v>1053</v>
      </c>
      <c r="H407" s="174" t="s">
        <v>332</v>
      </c>
      <c r="I407" s="174" t="s">
        <v>1477</v>
      </c>
      <c r="J407" s="174" t="s">
        <v>67</v>
      </c>
      <c r="K407" s="174" t="s">
        <v>334</v>
      </c>
      <c r="L407" s="174">
        <v>20062458</v>
      </c>
      <c r="M407" s="185" t="s">
        <v>73</v>
      </c>
      <c r="N407" s="174" t="s">
        <v>634</v>
      </c>
      <c r="O407" s="174" t="s">
        <v>453</v>
      </c>
      <c r="P407" s="174" t="s">
        <v>386</v>
      </c>
      <c r="Q407" s="174" t="s">
        <v>412</v>
      </c>
      <c r="R407" s="174" t="s">
        <v>509</v>
      </c>
      <c r="S407" s="174" t="s">
        <v>881</v>
      </c>
      <c r="T407" s="174">
        <v>3</v>
      </c>
      <c r="U407" s="184"/>
    </row>
    <row r="408" spans="1:21" ht="20.100000000000001" customHeight="1" x14ac:dyDescent="0.2">
      <c r="A408" s="74">
        <v>99885</v>
      </c>
      <c r="B408" s="179" t="s">
        <v>881</v>
      </c>
      <c r="C408" s="74">
        <v>30024159</v>
      </c>
      <c r="D408" s="74" t="s">
        <v>881</v>
      </c>
      <c r="E408" s="174" t="s">
        <v>874</v>
      </c>
      <c r="F408" s="174" t="s">
        <v>335</v>
      </c>
      <c r="G408" s="174" t="s">
        <v>1046</v>
      </c>
      <c r="H408" s="174" t="s">
        <v>329</v>
      </c>
      <c r="I408" s="174" t="s">
        <v>348</v>
      </c>
      <c r="J408" s="174" t="s">
        <v>349</v>
      </c>
      <c r="K408" s="174" t="s">
        <v>334</v>
      </c>
      <c r="L408" s="174">
        <v>20060376</v>
      </c>
      <c r="M408" s="185" t="s">
        <v>73</v>
      </c>
      <c r="N408" s="174" t="s">
        <v>881</v>
      </c>
      <c r="O408" s="174" t="s">
        <v>398</v>
      </c>
      <c r="P408" s="174" t="s">
        <v>399</v>
      </c>
      <c r="Q408" s="174" t="s">
        <v>207</v>
      </c>
      <c r="R408" s="174" t="s">
        <v>1196</v>
      </c>
      <c r="S408" s="174" t="s">
        <v>881</v>
      </c>
      <c r="T408" s="174" t="s">
        <v>633</v>
      </c>
      <c r="U408" s="184"/>
    </row>
    <row r="409" spans="1:21" ht="20.100000000000001" customHeight="1" x14ac:dyDescent="0.2">
      <c r="A409" s="74">
        <v>99890</v>
      </c>
      <c r="B409" s="179" t="s">
        <v>881</v>
      </c>
      <c r="C409" s="74">
        <v>30022316</v>
      </c>
      <c r="D409" s="74" t="s">
        <v>881</v>
      </c>
      <c r="E409" s="174" t="s">
        <v>617</v>
      </c>
      <c r="F409" s="174" t="s">
        <v>671</v>
      </c>
      <c r="G409" s="174" t="s">
        <v>987</v>
      </c>
      <c r="H409" s="174" t="s">
        <v>332</v>
      </c>
      <c r="I409" s="174" t="s">
        <v>1474</v>
      </c>
      <c r="J409" s="174" t="s">
        <v>67</v>
      </c>
      <c r="K409" s="174" t="s">
        <v>334</v>
      </c>
      <c r="L409" s="174">
        <v>20062458</v>
      </c>
      <c r="M409" s="185" t="s">
        <v>73</v>
      </c>
      <c r="N409" s="174" t="s">
        <v>255</v>
      </c>
      <c r="O409" s="174" t="s">
        <v>479</v>
      </c>
      <c r="P409" s="174" t="s">
        <v>461</v>
      </c>
      <c r="Q409" s="174" t="s">
        <v>412</v>
      </c>
      <c r="R409" s="174" t="s">
        <v>509</v>
      </c>
      <c r="S409" s="174" t="s">
        <v>881</v>
      </c>
      <c r="T409" s="174">
        <v>3</v>
      </c>
      <c r="U409" s="184"/>
    </row>
    <row r="410" spans="1:21" ht="20.100000000000001" customHeight="1" x14ac:dyDescent="0.2">
      <c r="A410" s="74">
        <v>99894</v>
      </c>
      <c r="B410" s="179" t="s">
        <v>881</v>
      </c>
      <c r="C410" s="74">
        <v>30023363</v>
      </c>
      <c r="D410" s="74" t="s">
        <v>881</v>
      </c>
      <c r="E410" s="174" t="s">
        <v>881</v>
      </c>
      <c r="F410" s="174" t="s">
        <v>335</v>
      </c>
      <c r="G410" s="174" t="s">
        <v>1047</v>
      </c>
      <c r="H410" s="174" t="s">
        <v>332</v>
      </c>
      <c r="I410" s="174" t="s">
        <v>553</v>
      </c>
      <c r="J410" s="174" t="s">
        <v>639</v>
      </c>
      <c r="K410" s="174" t="s">
        <v>334</v>
      </c>
      <c r="L410" s="174">
        <v>20063876</v>
      </c>
      <c r="M410" s="185" t="s">
        <v>73</v>
      </c>
      <c r="N410" s="174" t="s">
        <v>533</v>
      </c>
      <c r="O410" s="174" t="s">
        <v>388</v>
      </c>
      <c r="P410" s="174" t="s">
        <v>1496</v>
      </c>
      <c r="Q410" s="174" t="s">
        <v>406</v>
      </c>
      <c r="R410" s="174" t="s">
        <v>1196</v>
      </c>
      <c r="S410" s="174" t="s">
        <v>881</v>
      </c>
      <c r="T410" s="174">
        <v>4</v>
      </c>
      <c r="U410" s="184"/>
    </row>
    <row r="411" spans="1:21" ht="20.100000000000001" customHeight="1" x14ac:dyDescent="0.2">
      <c r="A411" s="74">
        <v>99898</v>
      </c>
      <c r="B411" s="179" t="s">
        <v>881</v>
      </c>
      <c r="C411" s="74">
        <v>30022790</v>
      </c>
      <c r="D411" s="74" t="s">
        <v>881</v>
      </c>
      <c r="E411" s="174" t="s">
        <v>881</v>
      </c>
      <c r="F411" s="174" t="s">
        <v>335</v>
      </c>
      <c r="G411" s="174" t="s">
        <v>987</v>
      </c>
      <c r="H411" s="174" t="s">
        <v>332</v>
      </c>
      <c r="I411" s="174" t="s">
        <v>1478</v>
      </c>
      <c r="J411" s="174" t="s">
        <v>109</v>
      </c>
      <c r="K411" s="174" t="s">
        <v>334</v>
      </c>
      <c r="L411" s="174">
        <v>20062458</v>
      </c>
      <c r="M411" s="185" t="s">
        <v>73</v>
      </c>
      <c r="N411" s="174" t="s">
        <v>668</v>
      </c>
      <c r="O411" s="174" t="s">
        <v>453</v>
      </c>
      <c r="P411" s="174" t="s">
        <v>386</v>
      </c>
      <c r="Q411" s="174" t="s">
        <v>412</v>
      </c>
      <c r="R411" s="174" t="s">
        <v>509</v>
      </c>
      <c r="S411" s="174" t="s">
        <v>881</v>
      </c>
      <c r="T411" s="174">
        <v>3</v>
      </c>
      <c r="U411" s="184"/>
    </row>
    <row r="412" spans="1:21" ht="20.100000000000001" customHeight="1" x14ac:dyDescent="0.2">
      <c r="A412" s="74">
        <v>99901</v>
      </c>
      <c r="B412" s="179" t="s">
        <v>881</v>
      </c>
      <c r="C412" s="74">
        <v>30022648</v>
      </c>
      <c r="D412" s="74" t="s">
        <v>881</v>
      </c>
      <c r="E412" s="174" t="s">
        <v>881</v>
      </c>
      <c r="F412" s="174" t="s">
        <v>335</v>
      </c>
      <c r="G412" s="174" t="s">
        <v>1045</v>
      </c>
      <c r="H412" s="174" t="s">
        <v>330</v>
      </c>
      <c r="I412" s="174" t="s">
        <v>1479</v>
      </c>
      <c r="J412" s="174" t="s">
        <v>100</v>
      </c>
      <c r="K412" s="174" t="s">
        <v>334</v>
      </c>
      <c r="L412" s="174">
        <v>20061915</v>
      </c>
      <c r="M412" s="185" t="s">
        <v>73</v>
      </c>
      <c r="N412" s="174" t="s">
        <v>255</v>
      </c>
      <c r="O412" s="174" t="s">
        <v>490</v>
      </c>
      <c r="P412" s="174" t="s">
        <v>482</v>
      </c>
      <c r="Q412" s="174" t="s">
        <v>412</v>
      </c>
      <c r="R412" s="174" t="s">
        <v>509</v>
      </c>
      <c r="S412" s="174" t="s">
        <v>881</v>
      </c>
      <c r="T412" s="174">
        <v>3</v>
      </c>
      <c r="U412" s="184"/>
    </row>
    <row r="413" spans="1:21" ht="20.100000000000001" customHeight="1" x14ac:dyDescent="0.2">
      <c r="A413" s="74">
        <v>99903</v>
      </c>
      <c r="B413" s="179" t="s">
        <v>881</v>
      </c>
      <c r="C413" s="74">
        <v>30023556</v>
      </c>
      <c r="D413" s="74" t="s">
        <v>881</v>
      </c>
      <c r="E413" s="174" t="s">
        <v>881</v>
      </c>
      <c r="F413" s="174" t="s">
        <v>335</v>
      </c>
      <c r="G413" s="174" t="s">
        <v>1041</v>
      </c>
      <c r="H413" s="174" t="s">
        <v>332</v>
      </c>
      <c r="I413" s="174" t="s">
        <v>337</v>
      </c>
      <c r="J413" s="174" t="s">
        <v>108</v>
      </c>
      <c r="K413" s="174" t="s">
        <v>334</v>
      </c>
      <c r="L413" s="174">
        <v>20061915</v>
      </c>
      <c r="M413" s="185" t="s">
        <v>73</v>
      </c>
      <c r="N413" s="174" t="s">
        <v>327</v>
      </c>
      <c r="O413" s="174" t="s">
        <v>503</v>
      </c>
      <c r="P413" s="174" t="s">
        <v>482</v>
      </c>
      <c r="Q413" s="174" t="s">
        <v>412</v>
      </c>
      <c r="R413" s="174" t="s">
        <v>509</v>
      </c>
      <c r="S413" s="174" t="s">
        <v>881</v>
      </c>
      <c r="T413" s="174">
        <v>3</v>
      </c>
      <c r="U413" s="184"/>
    </row>
    <row r="414" spans="1:21" s="168" customFormat="1" ht="20.100000000000001" customHeight="1" x14ac:dyDescent="0.2">
      <c r="A414" s="188">
        <v>99908</v>
      </c>
      <c r="B414" s="189" t="s">
        <v>1368</v>
      </c>
      <c r="C414" s="171">
        <v>30023923</v>
      </c>
      <c r="D414" s="171">
        <v>30020458</v>
      </c>
      <c r="E414" s="168" t="s">
        <v>881</v>
      </c>
      <c r="F414" s="168" t="s">
        <v>335</v>
      </c>
      <c r="G414" s="168" t="s">
        <v>1058</v>
      </c>
      <c r="H414" s="168" t="s">
        <v>329</v>
      </c>
      <c r="I414" s="168" t="s">
        <v>540</v>
      </c>
      <c r="J414" s="168" t="s">
        <v>16</v>
      </c>
      <c r="K414" s="168" t="s">
        <v>334</v>
      </c>
      <c r="L414" s="168">
        <v>20061924</v>
      </c>
      <c r="M414" s="168" t="s">
        <v>73</v>
      </c>
      <c r="N414" s="168" t="s">
        <v>677</v>
      </c>
      <c r="O414" s="168" t="s">
        <v>1199</v>
      </c>
      <c r="P414" s="168" t="s">
        <v>1496</v>
      </c>
      <c r="Q414" s="168" t="s">
        <v>406</v>
      </c>
      <c r="R414" s="191" t="s">
        <v>1196</v>
      </c>
      <c r="S414" s="168" t="s">
        <v>881</v>
      </c>
      <c r="T414" s="168" t="s">
        <v>881</v>
      </c>
      <c r="U414" s="187"/>
    </row>
    <row r="415" spans="1:21" s="168" customFormat="1" ht="20.100000000000001" customHeight="1" x14ac:dyDescent="0.2">
      <c r="A415" s="188">
        <v>99909</v>
      </c>
      <c r="B415" s="189" t="s">
        <v>1365</v>
      </c>
      <c r="C415" s="171">
        <v>30023111</v>
      </c>
      <c r="D415" s="171">
        <v>30020459</v>
      </c>
      <c r="E415" s="168" t="s">
        <v>881</v>
      </c>
      <c r="F415" s="168" t="s">
        <v>699</v>
      </c>
      <c r="G415" s="168" t="s">
        <v>1058</v>
      </c>
      <c r="H415" s="168" t="s">
        <v>329</v>
      </c>
      <c r="I415" s="168" t="s">
        <v>348</v>
      </c>
      <c r="J415" s="168" t="s">
        <v>349</v>
      </c>
      <c r="K415" s="168" t="s">
        <v>334</v>
      </c>
      <c r="L415" s="168">
        <v>20060526</v>
      </c>
      <c r="M415" s="168" t="s">
        <v>73</v>
      </c>
      <c r="N415" s="168" t="s">
        <v>904</v>
      </c>
      <c r="O415" s="168" t="s">
        <v>1299</v>
      </c>
      <c r="P415" s="168" t="s">
        <v>1511</v>
      </c>
      <c r="Q415" s="168" t="s">
        <v>406</v>
      </c>
      <c r="R415" s="168" t="s">
        <v>1196</v>
      </c>
      <c r="S415" s="168" t="s">
        <v>881</v>
      </c>
      <c r="T415" s="168" t="s">
        <v>881</v>
      </c>
      <c r="U415" s="187"/>
    </row>
    <row r="416" spans="1:21" ht="20.100000000000001" customHeight="1" x14ac:dyDescent="0.2">
      <c r="A416" s="74">
        <v>99910</v>
      </c>
      <c r="B416" s="179" t="s">
        <v>881</v>
      </c>
      <c r="C416" s="74">
        <v>30022792</v>
      </c>
      <c r="D416" s="74" t="s">
        <v>881</v>
      </c>
      <c r="E416" s="174" t="s">
        <v>617</v>
      </c>
      <c r="F416" s="174" t="s">
        <v>335</v>
      </c>
      <c r="G416" s="174" t="s">
        <v>1049</v>
      </c>
      <c r="H416" s="174" t="s">
        <v>329</v>
      </c>
      <c r="I416" s="174" t="s">
        <v>348</v>
      </c>
      <c r="J416" s="174" t="s">
        <v>349</v>
      </c>
      <c r="K416" s="174" t="s">
        <v>334</v>
      </c>
      <c r="L416" s="174">
        <v>20060376</v>
      </c>
      <c r="M416" s="174" t="s">
        <v>73</v>
      </c>
      <c r="N416" s="174" t="s">
        <v>901</v>
      </c>
      <c r="O416" s="174" t="s">
        <v>400</v>
      </c>
      <c r="P416" s="174" t="s">
        <v>399</v>
      </c>
      <c r="Q416" s="174" t="s">
        <v>207</v>
      </c>
      <c r="R416" s="174" t="s">
        <v>1196</v>
      </c>
      <c r="S416" s="174" t="s">
        <v>881</v>
      </c>
      <c r="T416" s="174" t="s">
        <v>633</v>
      </c>
      <c r="U416" s="184"/>
    </row>
    <row r="417" spans="1:21" ht="20.100000000000001" customHeight="1" x14ac:dyDescent="0.2">
      <c r="A417" s="74">
        <v>99910</v>
      </c>
      <c r="B417" s="179" t="s">
        <v>881</v>
      </c>
      <c r="C417" s="74">
        <v>30022791</v>
      </c>
      <c r="D417" s="74" t="s">
        <v>881</v>
      </c>
      <c r="E417" s="174" t="s">
        <v>872</v>
      </c>
      <c r="F417" s="174" t="s">
        <v>335</v>
      </c>
      <c r="G417" s="174" t="s">
        <v>1049</v>
      </c>
      <c r="H417" s="174" t="s">
        <v>329</v>
      </c>
      <c r="I417" s="174" t="s">
        <v>348</v>
      </c>
      <c r="J417" s="174" t="s">
        <v>349</v>
      </c>
      <c r="K417" s="174" t="s">
        <v>334</v>
      </c>
      <c r="L417" s="174">
        <v>20060376</v>
      </c>
      <c r="M417" s="174" t="s">
        <v>73</v>
      </c>
      <c r="N417" s="174" t="s">
        <v>887</v>
      </c>
      <c r="O417" s="174" t="s">
        <v>400</v>
      </c>
      <c r="P417" s="174" t="s">
        <v>399</v>
      </c>
      <c r="Q417" s="174" t="s">
        <v>207</v>
      </c>
      <c r="R417" s="174" t="s">
        <v>1196</v>
      </c>
      <c r="S417" s="174" t="s">
        <v>881</v>
      </c>
      <c r="T417" s="174" t="s">
        <v>633</v>
      </c>
      <c r="U417" s="184"/>
    </row>
    <row r="418" spans="1:21" s="168" customFormat="1" ht="20.100000000000001" customHeight="1" x14ac:dyDescent="0.2">
      <c r="A418" s="188">
        <v>99911</v>
      </c>
      <c r="B418" s="189" t="s">
        <v>1366</v>
      </c>
      <c r="C418" s="171">
        <v>30023326</v>
      </c>
      <c r="D418" s="171">
        <v>30020470</v>
      </c>
      <c r="E418" s="168" t="s">
        <v>881</v>
      </c>
      <c r="F418" s="168" t="s">
        <v>21</v>
      </c>
      <c r="G418" s="168" t="s">
        <v>1058</v>
      </c>
      <c r="H418" s="168" t="s">
        <v>329</v>
      </c>
      <c r="I418" s="205" t="s">
        <v>940</v>
      </c>
      <c r="J418" s="168" t="s">
        <v>253</v>
      </c>
      <c r="K418" s="168" t="s">
        <v>334</v>
      </c>
      <c r="L418" s="168">
        <v>20062093</v>
      </c>
      <c r="M418" s="168" t="s">
        <v>73</v>
      </c>
      <c r="N418" s="168" t="s">
        <v>1370</v>
      </c>
      <c r="O418" s="168" t="s">
        <v>373</v>
      </c>
      <c r="P418" s="168" t="s">
        <v>374</v>
      </c>
      <c r="Q418" s="168" t="s">
        <v>412</v>
      </c>
      <c r="R418" s="168" t="s">
        <v>509</v>
      </c>
      <c r="S418" s="168" t="s">
        <v>881</v>
      </c>
      <c r="T418" s="168" t="s">
        <v>881</v>
      </c>
      <c r="U418" s="187"/>
    </row>
    <row r="419" spans="1:21" s="168" customFormat="1" ht="20.100000000000001" customHeight="1" x14ac:dyDescent="0.2">
      <c r="A419" s="188">
        <v>99912</v>
      </c>
      <c r="B419" s="189" t="s">
        <v>1367</v>
      </c>
      <c r="C419" s="171">
        <v>30023446</v>
      </c>
      <c r="D419" s="171">
        <v>30020471</v>
      </c>
      <c r="E419" s="168" t="s">
        <v>881</v>
      </c>
      <c r="F419" s="168" t="s">
        <v>335</v>
      </c>
      <c r="G419" s="168" t="s">
        <v>1058</v>
      </c>
      <c r="H419" s="168" t="s">
        <v>329</v>
      </c>
      <c r="I419" s="168" t="s">
        <v>340</v>
      </c>
      <c r="J419" s="168" t="s">
        <v>341</v>
      </c>
      <c r="K419" s="168" t="s">
        <v>334</v>
      </c>
      <c r="L419" s="168">
        <v>20061924</v>
      </c>
      <c r="M419" s="168" t="s">
        <v>73</v>
      </c>
      <c r="N419" s="168" t="s">
        <v>905</v>
      </c>
      <c r="O419" s="168" t="s">
        <v>411</v>
      </c>
      <c r="P419" s="168" t="s">
        <v>1496</v>
      </c>
      <c r="Q419" s="168" t="s">
        <v>406</v>
      </c>
      <c r="R419" s="191" t="s">
        <v>1196</v>
      </c>
      <c r="S419" s="168" t="s">
        <v>881</v>
      </c>
      <c r="T419" s="168" t="s">
        <v>881</v>
      </c>
      <c r="U419" s="187"/>
    </row>
    <row r="420" spans="1:21" ht="20.100000000000001" customHeight="1" x14ac:dyDescent="0.2">
      <c r="A420" s="74">
        <v>99920</v>
      </c>
      <c r="B420" s="179" t="s">
        <v>881</v>
      </c>
      <c r="C420" s="74">
        <v>30022317</v>
      </c>
      <c r="D420" s="74" t="s">
        <v>881</v>
      </c>
      <c r="E420" s="174" t="s">
        <v>881</v>
      </c>
      <c r="F420" s="174" t="s">
        <v>335</v>
      </c>
      <c r="G420" s="174" t="s">
        <v>987</v>
      </c>
      <c r="H420" s="174" t="s">
        <v>332</v>
      </c>
      <c r="I420" s="174" t="s">
        <v>1480</v>
      </c>
      <c r="J420" s="174" t="s">
        <v>95</v>
      </c>
      <c r="K420" s="174" t="s">
        <v>334</v>
      </c>
      <c r="L420" s="174">
        <v>20062458</v>
      </c>
      <c r="M420" s="185" t="s">
        <v>73</v>
      </c>
      <c r="N420" s="174" t="s">
        <v>255</v>
      </c>
      <c r="O420" s="174" t="s">
        <v>491</v>
      </c>
      <c r="P420" s="174" t="s">
        <v>461</v>
      </c>
      <c r="Q420" s="174" t="s">
        <v>412</v>
      </c>
      <c r="R420" s="174" t="s">
        <v>509</v>
      </c>
      <c r="S420" s="174" t="s">
        <v>881</v>
      </c>
      <c r="T420" s="174">
        <v>3</v>
      </c>
      <c r="U420" s="184"/>
    </row>
    <row r="421" spans="1:21" ht="20.100000000000001" customHeight="1" x14ac:dyDescent="0.2">
      <c r="A421" s="74">
        <v>99930</v>
      </c>
      <c r="B421" s="179" t="s">
        <v>881</v>
      </c>
      <c r="C421" s="74">
        <v>30022318</v>
      </c>
      <c r="D421" s="74" t="s">
        <v>881</v>
      </c>
      <c r="E421" s="174" t="s">
        <v>881</v>
      </c>
      <c r="F421" s="174" t="s">
        <v>335</v>
      </c>
      <c r="G421" s="174" t="s">
        <v>1063</v>
      </c>
      <c r="H421" s="174" t="s">
        <v>332</v>
      </c>
      <c r="I421" s="174" t="s">
        <v>351</v>
      </c>
      <c r="J421" s="174" t="s">
        <v>37</v>
      </c>
      <c r="K421" s="174" t="s">
        <v>334</v>
      </c>
      <c r="L421" s="174">
        <v>20062447</v>
      </c>
      <c r="M421" s="185" t="s">
        <v>73</v>
      </c>
      <c r="N421" s="174" t="s">
        <v>881</v>
      </c>
      <c r="O421" s="174" t="s">
        <v>457</v>
      </c>
      <c r="P421" s="174" t="s">
        <v>382</v>
      </c>
      <c r="Q421" s="174" t="s">
        <v>412</v>
      </c>
      <c r="R421" s="174" t="s">
        <v>1196</v>
      </c>
      <c r="S421" s="174" t="s">
        <v>881</v>
      </c>
      <c r="T421" s="174">
        <v>3</v>
      </c>
      <c r="U421" s="184"/>
    </row>
    <row r="422" spans="1:21" ht="20.100000000000001" customHeight="1" x14ac:dyDescent="0.2">
      <c r="A422" s="74">
        <v>99934</v>
      </c>
      <c r="B422" s="179" t="s">
        <v>881</v>
      </c>
      <c r="C422" s="74">
        <v>30024160</v>
      </c>
      <c r="D422" s="74" t="s">
        <v>881</v>
      </c>
      <c r="E422" s="174" t="s">
        <v>617</v>
      </c>
      <c r="F422" s="174" t="s">
        <v>335</v>
      </c>
      <c r="G422" s="174" t="s">
        <v>1041</v>
      </c>
      <c r="H422" s="174" t="s">
        <v>332</v>
      </c>
      <c r="I422" s="174" t="s">
        <v>553</v>
      </c>
      <c r="J422" s="174" t="s">
        <v>639</v>
      </c>
      <c r="K422" s="174" t="s">
        <v>334</v>
      </c>
      <c r="L422" s="174">
        <v>20062207</v>
      </c>
      <c r="M422" s="185" t="s">
        <v>73</v>
      </c>
      <c r="N422" s="174" t="s">
        <v>542</v>
      </c>
      <c r="O422" s="174" t="s">
        <v>388</v>
      </c>
      <c r="P422" s="174" t="s">
        <v>1496</v>
      </c>
      <c r="Q422" s="174" t="s">
        <v>406</v>
      </c>
      <c r="R422" s="174" t="s">
        <v>1196</v>
      </c>
      <c r="S422" s="174">
        <v>40057145</v>
      </c>
      <c r="T422" s="174">
        <v>4</v>
      </c>
      <c r="U422" s="184"/>
    </row>
    <row r="423" spans="1:21" ht="20.100000000000001" customHeight="1" x14ac:dyDescent="0.2">
      <c r="A423" s="74">
        <v>99940</v>
      </c>
      <c r="B423" s="179" t="s">
        <v>881</v>
      </c>
      <c r="C423" s="74">
        <v>30022319</v>
      </c>
      <c r="D423" s="74" t="s">
        <v>881</v>
      </c>
      <c r="E423" s="174" t="s">
        <v>881</v>
      </c>
      <c r="F423" s="174" t="s">
        <v>21</v>
      </c>
      <c r="G423" s="174" t="s">
        <v>1058</v>
      </c>
      <c r="H423" s="174" t="s">
        <v>329</v>
      </c>
      <c r="I423" s="174" t="s">
        <v>354</v>
      </c>
      <c r="J423" s="174" t="s">
        <v>246</v>
      </c>
      <c r="K423" s="174" t="s">
        <v>334</v>
      </c>
      <c r="L423" s="174">
        <v>20062667</v>
      </c>
      <c r="M423" s="174" t="s">
        <v>73</v>
      </c>
      <c r="N423" s="174" t="s">
        <v>1101</v>
      </c>
      <c r="O423" s="174" t="s">
        <v>409</v>
      </c>
      <c r="P423" s="174" t="s">
        <v>367</v>
      </c>
      <c r="Q423" s="174" t="s">
        <v>507</v>
      </c>
      <c r="R423" s="174" t="s">
        <v>1196</v>
      </c>
      <c r="S423" s="174" t="s">
        <v>881</v>
      </c>
      <c r="T423" s="174">
        <v>2</v>
      </c>
      <c r="U423" s="184"/>
    </row>
    <row r="424" spans="1:21" ht="20.100000000000001" customHeight="1" x14ac:dyDescent="0.2">
      <c r="A424" s="74">
        <v>99949</v>
      </c>
      <c r="B424" s="179" t="s">
        <v>881</v>
      </c>
      <c r="C424" s="74">
        <v>30022794</v>
      </c>
      <c r="D424" s="74" t="s">
        <v>881</v>
      </c>
      <c r="E424" s="174" t="s">
        <v>881</v>
      </c>
      <c r="F424" s="174" t="s">
        <v>58</v>
      </c>
      <c r="G424" s="174" t="s">
        <v>1044</v>
      </c>
      <c r="H424" s="174" t="s">
        <v>332</v>
      </c>
      <c r="I424" s="174" t="s">
        <v>1453</v>
      </c>
      <c r="J424" s="174" t="s">
        <v>15</v>
      </c>
      <c r="K424" s="174" t="s">
        <v>334</v>
      </c>
      <c r="L424" s="174">
        <v>20062458</v>
      </c>
      <c r="M424" s="185" t="s">
        <v>73</v>
      </c>
      <c r="N424" s="174" t="s">
        <v>634</v>
      </c>
      <c r="O424" s="174" t="s">
        <v>420</v>
      </c>
      <c r="P424" s="174" t="s">
        <v>386</v>
      </c>
      <c r="Q424" s="174" t="s">
        <v>412</v>
      </c>
      <c r="R424" s="174" t="s">
        <v>509</v>
      </c>
      <c r="S424" s="174" t="s">
        <v>881</v>
      </c>
      <c r="T424" s="174">
        <v>3</v>
      </c>
      <c r="U424" s="184"/>
    </row>
    <row r="425" spans="1:21" ht="20.100000000000001" customHeight="1" x14ac:dyDescent="0.2">
      <c r="A425" s="74" t="s">
        <v>1227</v>
      </c>
      <c r="B425" s="179" t="s">
        <v>881</v>
      </c>
      <c r="C425" s="74">
        <v>30024501</v>
      </c>
      <c r="D425" s="74" t="s">
        <v>881</v>
      </c>
      <c r="E425" s="174" t="s">
        <v>881</v>
      </c>
      <c r="F425" s="174" t="s">
        <v>58</v>
      </c>
      <c r="G425" s="174" t="s">
        <v>1044</v>
      </c>
      <c r="H425" s="174" t="s">
        <v>332</v>
      </c>
      <c r="I425" s="174" t="s">
        <v>1453</v>
      </c>
      <c r="J425" s="174" t="s">
        <v>15</v>
      </c>
      <c r="K425" s="174" t="s">
        <v>334</v>
      </c>
      <c r="L425" s="174">
        <v>20062458</v>
      </c>
      <c r="M425" s="185" t="s">
        <v>73</v>
      </c>
      <c r="N425" s="174" t="s">
        <v>634</v>
      </c>
      <c r="O425" s="174" t="s">
        <v>420</v>
      </c>
      <c r="P425" s="174" t="s">
        <v>386</v>
      </c>
      <c r="Q425" s="174" t="s">
        <v>412</v>
      </c>
      <c r="R425" s="174" t="s">
        <v>509</v>
      </c>
      <c r="S425" s="174" t="s">
        <v>881</v>
      </c>
      <c r="T425" s="174">
        <v>3</v>
      </c>
      <c r="U425" s="184"/>
    </row>
    <row r="426" spans="1:21" ht="20.100000000000001" customHeight="1" x14ac:dyDescent="0.2">
      <c r="A426" s="74">
        <v>99950</v>
      </c>
      <c r="B426" s="179" t="s">
        <v>881</v>
      </c>
      <c r="C426" s="74">
        <v>30022795</v>
      </c>
      <c r="D426" s="74" t="s">
        <v>881</v>
      </c>
      <c r="E426" s="174" t="s">
        <v>881</v>
      </c>
      <c r="F426" s="174" t="s">
        <v>335</v>
      </c>
      <c r="G426" s="174" t="s">
        <v>1058</v>
      </c>
      <c r="H426" s="174" t="s">
        <v>329</v>
      </c>
      <c r="I426" s="174" t="s">
        <v>511</v>
      </c>
      <c r="J426" s="174" t="s">
        <v>656</v>
      </c>
      <c r="K426" s="174" t="s">
        <v>334</v>
      </c>
      <c r="L426" s="174">
        <v>20063626</v>
      </c>
      <c r="M426" s="185" t="s">
        <v>73</v>
      </c>
      <c r="N426" s="174" t="s">
        <v>912</v>
      </c>
      <c r="O426" s="174" t="s">
        <v>392</v>
      </c>
      <c r="P426" s="174" t="s">
        <v>393</v>
      </c>
      <c r="Q426" s="174" t="s">
        <v>207</v>
      </c>
      <c r="R426" s="174" t="s">
        <v>1196</v>
      </c>
      <c r="S426" s="174" t="s">
        <v>881</v>
      </c>
      <c r="T426" s="174">
        <v>4</v>
      </c>
      <c r="U426" s="184"/>
    </row>
    <row r="427" spans="1:21" ht="20.100000000000001" customHeight="1" x14ac:dyDescent="0.2">
      <c r="A427" s="74">
        <v>99951</v>
      </c>
      <c r="B427" s="179" t="s">
        <v>881</v>
      </c>
      <c r="C427" s="74">
        <v>30024303</v>
      </c>
      <c r="D427" s="74" t="s">
        <v>881</v>
      </c>
      <c r="E427" s="174" t="s">
        <v>617</v>
      </c>
      <c r="F427" s="174" t="s">
        <v>335</v>
      </c>
      <c r="G427" s="174" t="s">
        <v>987</v>
      </c>
      <c r="H427" s="174" t="s">
        <v>330</v>
      </c>
      <c r="I427" s="174" t="s">
        <v>603</v>
      </c>
      <c r="J427" s="174" t="s">
        <v>527</v>
      </c>
      <c r="K427" s="174" t="s">
        <v>334</v>
      </c>
      <c r="L427" s="174">
        <v>20062180</v>
      </c>
      <c r="M427" s="185" t="s">
        <v>73</v>
      </c>
      <c r="N427" s="174" t="s">
        <v>634</v>
      </c>
      <c r="O427" s="174" t="s">
        <v>420</v>
      </c>
      <c r="P427" s="174" t="s">
        <v>386</v>
      </c>
      <c r="Q427" s="174" t="s">
        <v>412</v>
      </c>
      <c r="R427" s="174" t="s">
        <v>509</v>
      </c>
      <c r="S427" s="174" t="s">
        <v>881</v>
      </c>
      <c r="T427" s="174">
        <v>3</v>
      </c>
      <c r="U427" s="184"/>
    </row>
    <row r="428" spans="1:21" ht="20.100000000000001" customHeight="1" x14ac:dyDescent="0.2">
      <c r="A428" s="74">
        <v>99952</v>
      </c>
      <c r="B428" s="179" t="s">
        <v>881</v>
      </c>
      <c r="C428" s="74">
        <v>30024355</v>
      </c>
      <c r="D428" s="74" t="s">
        <v>881</v>
      </c>
      <c r="E428" s="174" t="s">
        <v>617</v>
      </c>
      <c r="F428" s="174" t="s">
        <v>335</v>
      </c>
      <c r="G428" s="153" t="s">
        <v>1004</v>
      </c>
      <c r="H428" s="174" t="s">
        <v>330</v>
      </c>
      <c r="I428" s="174" t="s">
        <v>342</v>
      </c>
      <c r="J428" s="174" t="s">
        <v>324</v>
      </c>
      <c r="K428" s="174" t="s">
        <v>334</v>
      </c>
      <c r="L428" s="174">
        <v>20062180</v>
      </c>
      <c r="M428" s="185" t="s">
        <v>73</v>
      </c>
      <c r="N428" s="174" t="s">
        <v>634</v>
      </c>
      <c r="O428" s="174" t="s">
        <v>420</v>
      </c>
      <c r="P428" s="174" t="s">
        <v>386</v>
      </c>
      <c r="Q428" s="174" t="s">
        <v>412</v>
      </c>
      <c r="R428" s="174" t="s">
        <v>509</v>
      </c>
      <c r="S428" s="174">
        <v>40061308</v>
      </c>
      <c r="T428" s="174">
        <v>3</v>
      </c>
      <c r="U428" s="184"/>
    </row>
    <row r="429" spans="1:21" ht="20.100000000000001" customHeight="1" x14ac:dyDescent="0.2">
      <c r="A429" s="74">
        <v>99955</v>
      </c>
      <c r="B429" s="179" t="s">
        <v>881</v>
      </c>
      <c r="C429" s="74">
        <v>30024305</v>
      </c>
      <c r="D429" s="74" t="s">
        <v>881</v>
      </c>
      <c r="E429" s="174" t="s">
        <v>871</v>
      </c>
      <c r="F429" s="174" t="s">
        <v>335</v>
      </c>
      <c r="G429" s="174" t="s">
        <v>987</v>
      </c>
      <c r="H429" s="174" t="s">
        <v>330</v>
      </c>
      <c r="I429" s="174" t="s">
        <v>517</v>
      </c>
      <c r="J429" s="174" t="s">
        <v>356</v>
      </c>
      <c r="K429" s="174" t="s">
        <v>334</v>
      </c>
      <c r="L429" s="174">
        <v>20063241</v>
      </c>
      <c r="M429" s="185" t="s">
        <v>73</v>
      </c>
      <c r="N429" s="174" t="s">
        <v>634</v>
      </c>
      <c r="O429" s="174" t="s">
        <v>381</v>
      </c>
      <c r="P429" s="174" t="s">
        <v>386</v>
      </c>
      <c r="Q429" s="174" t="s">
        <v>412</v>
      </c>
      <c r="R429" s="174" t="s">
        <v>509</v>
      </c>
      <c r="S429" s="174" t="s">
        <v>881</v>
      </c>
      <c r="T429" s="174">
        <v>3</v>
      </c>
      <c r="U429" s="184"/>
    </row>
    <row r="430" spans="1:21" ht="20.100000000000001" customHeight="1" x14ac:dyDescent="0.2">
      <c r="A430" s="74">
        <v>99956</v>
      </c>
      <c r="B430" s="179" t="s">
        <v>881</v>
      </c>
      <c r="C430" s="74">
        <v>30024161</v>
      </c>
      <c r="D430" s="74" t="s">
        <v>881</v>
      </c>
      <c r="E430" s="174" t="s">
        <v>871</v>
      </c>
      <c r="F430" s="174" t="s">
        <v>335</v>
      </c>
      <c r="G430" s="174" t="s">
        <v>1054</v>
      </c>
      <c r="H430" s="174" t="s">
        <v>326</v>
      </c>
      <c r="I430" s="174" t="s">
        <v>342</v>
      </c>
      <c r="J430" s="174" t="s">
        <v>324</v>
      </c>
      <c r="K430" s="174" t="s">
        <v>334</v>
      </c>
      <c r="L430" s="174">
        <v>20063241</v>
      </c>
      <c r="M430" s="185" t="s">
        <v>73</v>
      </c>
      <c r="N430" s="174" t="s">
        <v>881</v>
      </c>
      <c r="O430" s="174" t="s">
        <v>460</v>
      </c>
      <c r="P430" s="174" t="s">
        <v>461</v>
      </c>
      <c r="Q430" s="174" t="s">
        <v>412</v>
      </c>
      <c r="R430" s="174" t="s">
        <v>509</v>
      </c>
      <c r="S430" s="174">
        <v>40057143</v>
      </c>
      <c r="T430" s="174">
        <v>3</v>
      </c>
      <c r="U430" s="184"/>
    </row>
    <row r="431" spans="1:21" ht="20.100000000000001" customHeight="1" x14ac:dyDescent="0.2">
      <c r="A431" s="74">
        <v>99957</v>
      </c>
      <c r="B431" s="179" t="s">
        <v>881</v>
      </c>
      <c r="C431" s="74">
        <v>30024306</v>
      </c>
      <c r="D431" s="74" t="s">
        <v>881</v>
      </c>
      <c r="E431" s="174" t="s">
        <v>871</v>
      </c>
      <c r="F431" s="174" t="s">
        <v>335</v>
      </c>
      <c r="G431" s="174" t="s">
        <v>1057</v>
      </c>
      <c r="H431" s="174" t="s">
        <v>326</v>
      </c>
      <c r="I431" s="174" t="s">
        <v>517</v>
      </c>
      <c r="J431" s="174" t="s">
        <v>356</v>
      </c>
      <c r="K431" s="174" t="s">
        <v>334</v>
      </c>
      <c r="L431" s="174">
        <v>20063241</v>
      </c>
      <c r="M431" s="185" t="s">
        <v>73</v>
      </c>
      <c r="N431" s="174" t="s">
        <v>881</v>
      </c>
      <c r="O431" s="174" t="s">
        <v>460</v>
      </c>
      <c r="P431" s="174" t="s">
        <v>461</v>
      </c>
      <c r="Q431" s="174" t="s">
        <v>412</v>
      </c>
      <c r="R431" s="174" t="s">
        <v>509</v>
      </c>
      <c r="S431" s="174" t="s">
        <v>881</v>
      </c>
      <c r="T431" s="174">
        <v>3</v>
      </c>
      <c r="U431" s="184"/>
    </row>
    <row r="432" spans="1:21" ht="20.100000000000001" customHeight="1" x14ac:dyDescent="0.2">
      <c r="A432" s="74">
        <v>99960</v>
      </c>
      <c r="B432" s="179" t="s">
        <v>881</v>
      </c>
      <c r="C432" s="74">
        <v>30022639</v>
      </c>
      <c r="D432" s="74" t="s">
        <v>881</v>
      </c>
      <c r="E432" s="174" t="s">
        <v>881</v>
      </c>
      <c r="F432" s="174" t="s">
        <v>335</v>
      </c>
      <c r="G432" s="174" t="s">
        <v>987</v>
      </c>
      <c r="H432" s="174" t="s">
        <v>336</v>
      </c>
      <c r="I432" s="174" t="s">
        <v>342</v>
      </c>
      <c r="J432" s="174" t="s">
        <v>324</v>
      </c>
      <c r="K432" s="174" t="s">
        <v>334</v>
      </c>
      <c r="L432" s="174">
        <v>20063379</v>
      </c>
      <c r="M432" s="185" t="s">
        <v>73</v>
      </c>
      <c r="N432" s="174" t="s">
        <v>529</v>
      </c>
      <c r="O432" s="174" t="s">
        <v>458</v>
      </c>
      <c r="P432" s="174" t="s">
        <v>382</v>
      </c>
      <c r="Q432" s="174" t="s">
        <v>412</v>
      </c>
      <c r="R432" s="174" t="s">
        <v>1196</v>
      </c>
      <c r="S432" s="174" t="s">
        <v>881</v>
      </c>
      <c r="T432" s="174">
        <v>3</v>
      </c>
      <c r="U432" s="184"/>
    </row>
    <row r="433" spans="1:21" ht="20.100000000000001" customHeight="1" x14ac:dyDescent="0.2">
      <c r="A433" s="74">
        <v>99961</v>
      </c>
      <c r="B433" s="179" t="s">
        <v>881</v>
      </c>
      <c r="C433" s="74">
        <v>30024162</v>
      </c>
      <c r="D433" s="74" t="s">
        <v>881</v>
      </c>
      <c r="E433" s="174" t="s">
        <v>871</v>
      </c>
      <c r="F433" s="174" t="s">
        <v>335</v>
      </c>
      <c r="G433" s="174" t="s">
        <v>987</v>
      </c>
      <c r="H433" s="174" t="s">
        <v>646</v>
      </c>
      <c r="I433" s="174" t="s">
        <v>342</v>
      </c>
      <c r="J433" s="174" t="s">
        <v>324</v>
      </c>
      <c r="K433" s="174" t="s">
        <v>334</v>
      </c>
      <c r="L433" s="174">
        <v>20063241</v>
      </c>
      <c r="M433" s="185" t="s">
        <v>73</v>
      </c>
      <c r="N433" s="174" t="s">
        <v>881</v>
      </c>
      <c r="O433" s="174" t="s">
        <v>460</v>
      </c>
      <c r="P433" s="174" t="s">
        <v>461</v>
      </c>
      <c r="Q433" s="174" t="s">
        <v>412</v>
      </c>
      <c r="R433" s="174" t="s">
        <v>509</v>
      </c>
      <c r="S433" s="174">
        <v>40057143</v>
      </c>
      <c r="T433" s="174">
        <v>3</v>
      </c>
      <c r="U433" s="184"/>
    </row>
    <row r="434" spans="1:21" ht="20.100000000000001" customHeight="1" x14ac:dyDescent="0.2">
      <c r="A434" s="74">
        <v>99962</v>
      </c>
      <c r="B434" s="179" t="s">
        <v>881</v>
      </c>
      <c r="C434" s="74">
        <v>30024163</v>
      </c>
      <c r="D434" s="74" t="s">
        <v>881</v>
      </c>
      <c r="E434" s="174" t="s">
        <v>872</v>
      </c>
      <c r="F434" s="174" t="s">
        <v>335</v>
      </c>
      <c r="G434" s="153" t="s">
        <v>1004</v>
      </c>
      <c r="H434" s="174" t="s">
        <v>628</v>
      </c>
      <c r="I434" s="174" t="s">
        <v>342</v>
      </c>
      <c r="J434" s="174" t="s">
        <v>324</v>
      </c>
      <c r="K434" s="174" t="s">
        <v>334</v>
      </c>
      <c r="L434" s="174">
        <v>20063241</v>
      </c>
      <c r="M434" s="185" t="s">
        <v>73</v>
      </c>
      <c r="N434" s="174" t="s">
        <v>881</v>
      </c>
      <c r="O434" s="174" t="s">
        <v>460</v>
      </c>
      <c r="P434" s="174" t="s">
        <v>461</v>
      </c>
      <c r="Q434" s="174" t="s">
        <v>412</v>
      </c>
      <c r="R434" s="174" t="s">
        <v>509</v>
      </c>
      <c r="S434" s="174">
        <v>40057143</v>
      </c>
      <c r="T434" s="174">
        <v>3</v>
      </c>
      <c r="U434" s="184"/>
    </row>
    <row r="435" spans="1:21" ht="20.100000000000001" customHeight="1" x14ac:dyDescent="0.2">
      <c r="A435" s="74">
        <v>99970</v>
      </c>
      <c r="B435" s="179" t="s">
        <v>881</v>
      </c>
      <c r="C435" s="74">
        <v>30022662</v>
      </c>
      <c r="D435" s="74" t="s">
        <v>881</v>
      </c>
      <c r="E435" s="174" t="s">
        <v>881</v>
      </c>
      <c r="F435" s="174" t="s">
        <v>335</v>
      </c>
      <c r="G435" s="174" t="s">
        <v>987</v>
      </c>
      <c r="H435" s="174" t="s">
        <v>336</v>
      </c>
      <c r="I435" s="174" t="s">
        <v>1481</v>
      </c>
      <c r="J435" s="174" t="s">
        <v>101</v>
      </c>
      <c r="K435" s="174" t="s">
        <v>334</v>
      </c>
      <c r="L435" s="174">
        <v>20062447</v>
      </c>
      <c r="M435" s="185" t="s">
        <v>73</v>
      </c>
      <c r="N435" s="174" t="s">
        <v>529</v>
      </c>
      <c r="O435" s="174" t="s">
        <v>459</v>
      </c>
      <c r="P435" s="174" t="s">
        <v>382</v>
      </c>
      <c r="Q435" s="174" t="s">
        <v>412</v>
      </c>
      <c r="R435" s="174" t="s">
        <v>1196</v>
      </c>
      <c r="S435" s="174" t="s">
        <v>881</v>
      </c>
      <c r="T435" s="174">
        <v>3</v>
      </c>
      <c r="U435" s="184"/>
    </row>
    <row r="436" spans="1:21" ht="20.100000000000001" customHeight="1" x14ac:dyDescent="0.2">
      <c r="A436" s="74">
        <v>99972</v>
      </c>
      <c r="B436" s="179" t="s">
        <v>881</v>
      </c>
      <c r="C436" s="74">
        <v>30024307</v>
      </c>
      <c r="D436" s="74" t="s">
        <v>881</v>
      </c>
      <c r="E436" s="174" t="s">
        <v>872</v>
      </c>
      <c r="F436" s="174" t="s">
        <v>671</v>
      </c>
      <c r="G436" s="174" t="s">
        <v>1058</v>
      </c>
      <c r="H436" s="174" t="s">
        <v>329</v>
      </c>
      <c r="I436" s="174" t="s">
        <v>540</v>
      </c>
      <c r="J436" s="174" t="s">
        <v>676</v>
      </c>
      <c r="K436" s="174" t="s">
        <v>334</v>
      </c>
      <c r="L436" s="174">
        <v>20062205</v>
      </c>
      <c r="M436" s="185" t="s">
        <v>73</v>
      </c>
      <c r="N436" s="174" t="s">
        <v>542</v>
      </c>
      <c r="O436" s="174" t="s">
        <v>411</v>
      </c>
      <c r="P436" s="174" t="s">
        <v>1496</v>
      </c>
      <c r="Q436" s="174" t="s">
        <v>406</v>
      </c>
      <c r="R436" s="174" t="s">
        <v>1196</v>
      </c>
      <c r="S436" s="174" t="s">
        <v>881</v>
      </c>
      <c r="T436" s="174">
        <v>4</v>
      </c>
      <c r="U436" s="184"/>
    </row>
    <row r="437" spans="1:21" ht="20.100000000000001" customHeight="1" x14ac:dyDescent="0.2">
      <c r="A437" s="74">
        <v>99973</v>
      </c>
      <c r="B437" s="179" t="s">
        <v>881</v>
      </c>
      <c r="C437" s="74">
        <v>30023364</v>
      </c>
      <c r="D437" s="74" t="s">
        <v>881</v>
      </c>
      <c r="E437" s="174" t="s">
        <v>881</v>
      </c>
      <c r="F437" s="174" t="s">
        <v>20</v>
      </c>
      <c r="G437" s="174" t="s">
        <v>1058</v>
      </c>
      <c r="H437" s="174" t="s">
        <v>329</v>
      </c>
      <c r="I437" s="174" t="s">
        <v>348</v>
      </c>
      <c r="J437" s="174" t="s">
        <v>349</v>
      </c>
      <c r="K437" s="174" t="s">
        <v>334</v>
      </c>
      <c r="L437" s="174">
        <v>20062264</v>
      </c>
      <c r="M437" s="185" t="s">
        <v>73</v>
      </c>
      <c r="N437" s="174" t="s">
        <v>906</v>
      </c>
      <c r="O437" s="174" t="s">
        <v>389</v>
      </c>
      <c r="P437" s="174" t="s">
        <v>504</v>
      </c>
      <c r="Q437" s="174" t="s">
        <v>721</v>
      </c>
      <c r="R437" s="174" t="s">
        <v>509</v>
      </c>
      <c r="S437" s="174" t="s">
        <v>881</v>
      </c>
      <c r="T437" s="174">
        <v>4</v>
      </c>
      <c r="U437" s="184"/>
    </row>
    <row r="438" spans="1:21" ht="20.100000000000001" customHeight="1" x14ac:dyDescent="0.2">
      <c r="A438" s="74">
        <v>99980</v>
      </c>
      <c r="B438" s="179" t="s">
        <v>881</v>
      </c>
      <c r="C438" s="74">
        <v>30022661</v>
      </c>
      <c r="D438" s="74" t="s">
        <v>881</v>
      </c>
      <c r="E438" s="174" t="s">
        <v>881</v>
      </c>
      <c r="F438" s="174" t="s">
        <v>335</v>
      </c>
      <c r="G438" s="174" t="s">
        <v>1054</v>
      </c>
      <c r="H438" s="174" t="s">
        <v>326</v>
      </c>
      <c r="I438" s="174" t="s">
        <v>523</v>
      </c>
      <c r="J438" s="174" t="s">
        <v>543</v>
      </c>
      <c r="K438" s="174" t="s">
        <v>334</v>
      </c>
      <c r="L438" s="174">
        <v>20063618</v>
      </c>
      <c r="M438" s="185" t="s">
        <v>73</v>
      </c>
      <c r="N438" s="174" t="s">
        <v>513</v>
      </c>
      <c r="O438" s="174" t="s">
        <v>492</v>
      </c>
      <c r="P438" s="174" t="s">
        <v>419</v>
      </c>
      <c r="Q438" s="174" t="s">
        <v>412</v>
      </c>
      <c r="R438" s="174" t="s">
        <v>509</v>
      </c>
      <c r="S438" s="174" t="s">
        <v>881</v>
      </c>
      <c r="T438" s="174">
        <v>3</v>
      </c>
      <c r="U438" s="184"/>
    </row>
    <row r="439" spans="1:21" s="168" customFormat="1" ht="20.100000000000001" customHeight="1" x14ac:dyDescent="0.2">
      <c r="A439" s="188">
        <v>99987</v>
      </c>
      <c r="B439" s="189" t="s">
        <v>1371</v>
      </c>
      <c r="C439" s="171">
        <v>30023447</v>
      </c>
      <c r="D439" s="171">
        <v>30020622</v>
      </c>
      <c r="E439" s="168" t="s">
        <v>881</v>
      </c>
      <c r="F439" s="168" t="s">
        <v>699</v>
      </c>
      <c r="G439" s="168" t="s">
        <v>1045</v>
      </c>
      <c r="H439" s="168" t="s">
        <v>332</v>
      </c>
      <c r="I439" s="168" t="s">
        <v>333</v>
      </c>
      <c r="J439" s="168" t="s">
        <v>109</v>
      </c>
      <c r="K439" s="168" t="s">
        <v>334</v>
      </c>
      <c r="L439" s="168">
        <v>20062323</v>
      </c>
      <c r="M439" s="168" t="s">
        <v>73</v>
      </c>
      <c r="N439" s="168" t="s">
        <v>126</v>
      </c>
      <c r="O439" s="168" t="s">
        <v>1217</v>
      </c>
      <c r="P439" s="168" t="s">
        <v>787</v>
      </c>
      <c r="Q439" s="168" t="s">
        <v>432</v>
      </c>
      <c r="R439" s="191" t="s">
        <v>1196</v>
      </c>
      <c r="S439" s="168" t="s">
        <v>881</v>
      </c>
      <c r="T439" s="168" t="s">
        <v>881</v>
      </c>
      <c r="U439" s="187"/>
    </row>
    <row r="440" spans="1:21" s="168" customFormat="1" ht="20.100000000000001" customHeight="1" x14ac:dyDescent="0.2">
      <c r="A440" s="188">
        <v>99989</v>
      </c>
      <c r="B440" s="189" t="s">
        <v>1372</v>
      </c>
      <c r="C440" s="171">
        <v>30024308</v>
      </c>
      <c r="D440" s="171">
        <v>30020621</v>
      </c>
      <c r="E440" s="168" t="s">
        <v>881</v>
      </c>
      <c r="F440" s="168" t="s">
        <v>328</v>
      </c>
      <c r="G440" s="168" t="s">
        <v>1045</v>
      </c>
      <c r="H440" s="168" t="s">
        <v>330</v>
      </c>
      <c r="I440" s="168" t="s">
        <v>342</v>
      </c>
      <c r="J440" s="168" t="s">
        <v>324</v>
      </c>
      <c r="K440" s="168" t="s">
        <v>334</v>
      </c>
      <c r="L440" s="168">
        <v>20061798</v>
      </c>
      <c r="M440" s="168" t="s">
        <v>73</v>
      </c>
      <c r="N440" s="168" t="s">
        <v>1242</v>
      </c>
      <c r="O440" s="168" t="s">
        <v>1218</v>
      </c>
      <c r="P440" s="168" t="s">
        <v>787</v>
      </c>
      <c r="Q440" s="168" t="s">
        <v>432</v>
      </c>
      <c r="R440" s="168" t="s">
        <v>1196</v>
      </c>
      <c r="S440" s="168" t="s">
        <v>881</v>
      </c>
      <c r="T440" s="168" t="s">
        <v>881</v>
      </c>
      <c r="U440" s="187"/>
    </row>
    <row r="441" spans="1:21" ht="20.100000000000001" customHeight="1" x14ac:dyDescent="0.2">
      <c r="A441" s="74" t="s">
        <v>514</v>
      </c>
      <c r="B441" s="179" t="s">
        <v>881</v>
      </c>
      <c r="C441" s="74">
        <v>30023936</v>
      </c>
      <c r="D441" s="74" t="s">
        <v>881</v>
      </c>
      <c r="E441" s="174" t="s">
        <v>881</v>
      </c>
      <c r="F441" s="174" t="s">
        <v>335</v>
      </c>
      <c r="G441" s="174" t="s">
        <v>987</v>
      </c>
      <c r="H441" s="174" t="s">
        <v>336</v>
      </c>
      <c r="I441" s="174" t="s">
        <v>606</v>
      </c>
      <c r="J441" s="174" t="s">
        <v>94</v>
      </c>
      <c r="K441" s="174" t="s">
        <v>334</v>
      </c>
      <c r="L441" s="174">
        <v>20062458</v>
      </c>
      <c r="M441" s="185" t="s">
        <v>73</v>
      </c>
      <c r="N441" s="174" t="s">
        <v>515</v>
      </c>
      <c r="O441" s="174" t="s">
        <v>455</v>
      </c>
      <c r="P441" s="174" t="s">
        <v>386</v>
      </c>
      <c r="Q441" s="174" t="s">
        <v>412</v>
      </c>
      <c r="R441" s="174" t="s">
        <v>509</v>
      </c>
      <c r="S441" s="174" t="s">
        <v>881</v>
      </c>
      <c r="T441" s="174">
        <v>3</v>
      </c>
      <c r="U441" s="184"/>
    </row>
    <row r="442" spans="1:21" ht="20.100000000000001" customHeight="1" x14ac:dyDescent="0.2">
      <c r="A442" s="208">
        <v>60110</v>
      </c>
      <c r="B442" s="209" t="s">
        <v>881</v>
      </c>
      <c r="C442" s="74">
        <v>30024340</v>
      </c>
      <c r="D442" s="74" t="s">
        <v>881</v>
      </c>
      <c r="E442" s="174" t="s">
        <v>870</v>
      </c>
      <c r="F442" s="74" t="s">
        <v>671</v>
      </c>
      <c r="G442" s="174" t="s">
        <v>1045</v>
      </c>
      <c r="H442" s="174" t="s">
        <v>330</v>
      </c>
      <c r="I442" s="174" t="s">
        <v>517</v>
      </c>
      <c r="J442" s="174" t="s">
        <v>356</v>
      </c>
      <c r="K442" s="174" t="s">
        <v>334</v>
      </c>
      <c r="L442" s="174" t="s">
        <v>621</v>
      </c>
      <c r="M442" s="185" t="s">
        <v>73</v>
      </c>
      <c r="N442" s="174" t="s">
        <v>881</v>
      </c>
      <c r="O442" s="210" t="s">
        <v>522</v>
      </c>
      <c r="P442" s="174" t="s">
        <v>382</v>
      </c>
      <c r="Q442" s="174" t="s">
        <v>412</v>
      </c>
      <c r="R442" s="174" t="s">
        <v>1196</v>
      </c>
      <c r="S442" s="174" t="s">
        <v>881</v>
      </c>
      <c r="T442" s="174">
        <v>3</v>
      </c>
      <c r="U442" s="184"/>
    </row>
    <row r="443" spans="1:21" ht="20.100000000000001" customHeight="1" x14ac:dyDescent="0.2">
      <c r="A443" s="74">
        <v>60546</v>
      </c>
      <c r="B443" s="179" t="s">
        <v>881</v>
      </c>
      <c r="C443" s="74">
        <v>30024279</v>
      </c>
      <c r="D443" s="74" t="s">
        <v>881</v>
      </c>
      <c r="E443" s="174" t="s">
        <v>877</v>
      </c>
      <c r="F443" s="174" t="s">
        <v>687</v>
      </c>
      <c r="G443" s="174" t="s">
        <v>987</v>
      </c>
      <c r="H443" s="174" t="s">
        <v>330</v>
      </c>
      <c r="I443" s="174" t="s">
        <v>337</v>
      </c>
      <c r="J443" s="174" t="s">
        <v>616</v>
      </c>
      <c r="K443" s="174" t="s">
        <v>334</v>
      </c>
      <c r="L443" s="174">
        <v>20062189</v>
      </c>
      <c r="M443" s="185" t="s">
        <v>73</v>
      </c>
      <c r="O443" s="174" t="s">
        <v>421</v>
      </c>
      <c r="P443" s="174" t="s">
        <v>422</v>
      </c>
      <c r="Q443" s="174" t="s">
        <v>412</v>
      </c>
      <c r="R443" s="174" t="s">
        <v>509</v>
      </c>
      <c r="S443" s="174">
        <v>40057144</v>
      </c>
      <c r="T443" s="174">
        <v>3</v>
      </c>
      <c r="U443" s="184"/>
    </row>
    <row r="444" spans="1:21" ht="20.100000000000001" customHeight="1" x14ac:dyDescent="0.2">
      <c r="A444" s="74">
        <v>98964</v>
      </c>
      <c r="B444" s="179" t="s">
        <v>881</v>
      </c>
      <c r="C444" s="74">
        <v>30024593</v>
      </c>
      <c r="D444" s="74" t="s">
        <v>881</v>
      </c>
      <c r="E444" s="174" t="s">
        <v>877</v>
      </c>
      <c r="F444" s="174" t="s">
        <v>941</v>
      </c>
      <c r="G444" s="174" t="s">
        <v>1058</v>
      </c>
      <c r="H444" s="174" t="s">
        <v>329</v>
      </c>
      <c r="I444" s="202" t="s">
        <v>940</v>
      </c>
      <c r="J444" s="174" t="s">
        <v>253</v>
      </c>
      <c r="K444" s="174" t="s">
        <v>334</v>
      </c>
      <c r="L444" s="174">
        <v>20061327</v>
      </c>
      <c r="M444" s="185" t="s">
        <v>73</v>
      </c>
      <c r="N444" s="174" t="s">
        <v>942</v>
      </c>
      <c r="O444" s="211" t="s">
        <v>373</v>
      </c>
      <c r="P444" s="211" t="s">
        <v>374</v>
      </c>
      <c r="Q444" s="211" t="s">
        <v>412</v>
      </c>
      <c r="R444" s="211" t="s">
        <v>509</v>
      </c>
      <c r="T444" s="174">
        <v>1</v>
      </c>
      <c r="U444" s="184"/>
    </row>
    <row r="445" spans="1:21" ht="20.100000000000001" customHeight="1" x14ac:dyDescent="0.2">
      <c r="A445" s="74">
        <v>60849</v>
      </c>
      <c r="B445" s="179" t="s">
        <v>881</v>
      </c>
      <c r="C445" s="74">
        <v>30024595</v>
      </c>
      <c r="D445" s="74" t="s">
        <v>881</v>
      </c>
      <c r="E445" s="174" t="s">
        <v>949</v>
      </c>
      <c r="F445" s="74" t="s">
        <v>671</v>
      </c>
      <c r="G445" s="174" t="s">
        <v>1045</v>
      </c>
      <c r="H445" s="174" t="s">
        <v>330</v>
      </c>
      <c r="I445" s="174" t="s">
        <v>355</v>
      </c>
      <c r="J445" s="174" t="s">
        <v>356</v>
      </c>
      <c r="K445" s="174" t="s">
        <v>334</v>
      </c>
      <c r="L445" s="174">
        <v>20064575</v>
      </c>
      <c r="M445" s="185" t="s">
        <v>73</v>
      </c>
      <c r="O445" s="174" t="s">
        <v>387</v>
      </c>
      <c r="P445" s="174" t="s">
        <v>383</v>
      </c>
      <c r="Q445" s="211" t="s">
        <v>412</v>
      </c>
      <c r="R445" s="211" t="s">
        <v>509</v>
      </c>
      <c r="T445" s="174">
        <v>3</v>
      </c>
      <c r="U445" s="184"/>
    </row>
    <row r="446" spans="1:21" ht="20.100000000000001" customHeight="1" x14ac:dyDescent="0.2">
      <c r="A446" s="74">
        <v>60488</v>
      </c>
      <c r="B446" s="179" t="s">
        <v>881</v>
      </c>
      <c r="C446" s="74">
        <v>30024599</v>
      </c>
      <c r="D446" s="74" t="s">
        <v>881</v>
      </c>
      <c r="E446" s="174" t="s">
        <v>870</v>
      </c>
      <c r="F446" s="74" t="s">
        <v>671</v>
      </c>
      <c r="G446" s="153" t="s">
        <v>1004</v>
      </c>
      <c r="H446" s="174" t="s">
        <v>330</v>
      </c>
      <c r="I446" s="174" t="s">
        <v>342</v>
      </c>
      <c r="J446" s="174" t="s">
        <v>324</v>
      </c>
      <c r="K446" s="174" t="s">
        <v>334</v>
      </c>
      <c r="L446" s="174">
        <v>20063379</v>
      </c>
      <c r="M446" s="185" t="s">
        <v>73</v>
      </c>
      <c r="N446" s="174" t="s">
        <v>986</v>
      </c>
      <c r="O446" s="174" t="s">
        <v>522</v>
      </c>
      <c r="P446" s="174" t="s">
        <v>382</v>
      </c>
      <c r="Q446" s="211" t="s">
        <v>412</v>
      </c>
      <c r="R446" s="174" t="s">
        <v>1196</v>
      </c>
      <c r="T446" s="174">
        <v>3</v>
      </c>
      <c r="U446" s="184" t="s">
        <v>984</v>
      </c>
    </row>
    <row r="447" spans="1:21" ht="20.100000000000001" customHeight="1" x14ac:dyDescent="0.2">
      <c r="A447" s="74">
        <v>60809</v>
      </c>
      <c r="B447" s="179" t="s">
        <v>881</v>
      </c>
      <c r="C447" s="74">
        <v>30024597</v>
      </c>
      <c r="D447" s="74" t="s">
        <v>881</v>
      </c>
      <c r="E447" s="174" t="s">
        <v>617</v>
      </c>
      <c r="F447" s="74" t="s">
        <v>671</v>
      </c>
      <c r="G447" s="174" t="s">
        <v>1043</v>
      </c>
      <c r="H447" s="174" t="s">
        <v>332</v>
      </c>
      <c r="I447" s="212" t="s">
        <v>526</v>
      </c>
      <c r="J447" s="174" t="s">
        <v>666</v>
      </c>
      <c r="K447" s="174" t="s">
        <v>334</v>
      </c>
      <c r="L447" s="174">
        <v>20064353</v>
      </c>
      <c r="M447" s="185" t="s">
        <v>73</v>
      </c>
      <c r="N447" s="174" t="s">
        <v>683</v>
      </c>
      <c r="O447" s="174" t="s">
        <v>388</v>
      </c>
      <c r="P447" s="174" t="s">
        <v>1496</v>
      </c>
      <c r="Q447" s="174" t="s">
        <v>406</v>
      </c>
      <c r="R447" s="174" t="s">
        <v>1196</v>
      </c>
      <c r="T447" s="174">
        <v>4</v>
      </c>
      <c r="U447" s="184"/>
    </row>
    <row r="448" spans="1:21" ht="20.100000000000001" customHeight="1" x14ac:dyDescent="0.2">
      <c r="A448" s="74">
        <v>61150</v>
      </c>
      <c r="B448" s="179" t="s">
        <v>881</v>
      </c>
      <c r="C448" s="74">
        <v>30024596</v>
      </c>
      <c r="D448" s="74" t="s">
        <v>881</v>
      </c>
      <c r="E448" s="174" t="s">
        <v>617</v>
      </c>
      <c r="F448" s="74" t="s">
        <v>671</v>
      </c>
      <c r="G448" s="174" t="s">
        <v>1041</v>
      </c>
      <c r="H448" s="174" t="s">
        <v>332</v>
      </c>
      <c r="I448" s="174" t="s">
        <v>950</v>
      </c>
      <c r="J448" s="174" t="s">
        <v>101</v>
      </c>
      <c r="K448" s="174" t="s">
        <v>334</v>
      </c>
      <c r="L448" s="174">
        <v>20064577</v>
      </c>
      <c r="M448" s="185" t="s">
        <v>73</v>
      </c>
      <c r="N448" s="174" t="s">
        <v>951</v>
      </c>
      <c r="O448" s="174" t="s">
        <v>644</v>
      </c>
      <c r="P448" s="174" t="s">
        <v>385</v>
      </c>
      <c r="Q448" s="211" t="s">
        <v>412</v>
      </c>
      <c r="R448" s="174" t="s">
        <v>1196</v>
      </c>
      <c r="T448" s="174">
        <v>3</v>
      </c>
      <c r="U448" s="184"/>
    </row>
    <row r="449" spans="1:21" ht="20.100000000000001" customHeight="1" x14ac:dyDescent="0.2">
      <c r="A449" s="74">
        <v>61550</v>
      </c>
      <c r="B449" s="179" t="s">
        <v>881</v>
      </c>
      <c r="C449" s="74">
        <v>30024631</v>
      </c>
      <c r="D449" s="74" t="s">
        <v>881</v>
      </c>
      <c r="E449" s="174" t="s">
        <v>870</v>
      </c>
      <c r="F449" s="74" t="s">
        <v>671</v>
      </c>
      <c r="G449" s="174" t="s">
        <v>1054</v>
      </c>
      <c r="H449" s="174" t="s">
        <v>330</v>
      </c>
      <c r="I449" s="174" t="s">
        <v>355</v>
      </c>
      <c r="J449" s="174" t="s">
        <v>356</v>
      </c>
      <c r="K449" s="174" t="s">
        <v>334</v>
      </c>
      <c r="L449" s="174">
        <v>20064717</v>
      </c>
      <c r="M449" s="185" t="s">
        <v>73</v>
      </c>
      <c r="N449" s="174" t="s">
        <v>951</v>
      </c>
      <c r="O449" s="174" t="s">
        <v>952</v>
      </c>
      <c r="P449" s="174" t="s">
        <v>385</v>
      </c>
      <c r="Q449" s="211" t="s">
        <v>412</v>
      </c>
      <c r="R449" s="174" t="s">
        <v>1196</v>
      </c>
      <c r="T449" s="174">
        <v>3</v>
      </c>
      <c r="U449" s="184"/>
    </row>
    <row r="450" spans="1:21" ht="20.100000000000001" customHeight="1" x14ac:dyDescent="0.2">
      <c r="A450" s="74">
        <v>61200</v>
      </c>
      <c r="B450" s="179" t="s">
        <v>881</v>
      </c>
      <c r="C450" s="74">
        <v>30024638</v>
      </c>
      <c r="D450" s="74" t="s">
        <v>881</v>
      </c>
      <c r="E450" s="174" t="s">
        <v>953</v>
      </c>
      <c r="F450" s="74" t="s">
        <v>671</v>
      </c>
      <c r="G450" s="174" t="s">
        <v>1054</v>
      </c>
      <c r="H450" s="174" t="s">
        <v>330</v>
      </c>
      <c r="I450" s="174" t="s">
        <v>954</v>
      </c>
      <c r="J450" s="140" t="s">
        <v>955</v>
      </c>
      <c r="K450" s="174" t="s">
        <v>334</v>
      </c>
      <c r="L450" s="174">
        <v>20064579</v>
      </c>
      <c r="M450" s="185" t="s">
        <v>73</v>
      </c>
      <c r="O450" s="174" t="s">
        <v>956</v>
      </c>
      <c r="P450" s="174" t="s">
        <v>1498</v>
      </c>
      <c r="Q450" s="174" t="s">
        <v>412</v>
      </c>
      <c r="R450" s="174" t="s">
        <v>509</v>
      </c>
      <c r="T450" s="174">
        <v>3</v>
      </c>
      <c r="U450" s="184"/>
    </row>
    <row r="451" spans="1:21" ht="20.100000000000001" customHeight="1" x14ac:dyDescent="0.2">
      <c r="A451" s="74">
        <v>60816</v>
      </c>
      <c r="B451" s="179" t="s">
        <v>881</v>
      </c>
      <c r="C451" s="74">
        <v>30024632</v>
      </c>
      <c r="D451" s="74" t="s">
        <v>881</v>
      </c>
      <c r="E451" s="174" t="s">
        <v>870</v>
      </c>
      <c r="F451" s="74" t="s">
        <v>671</v>
      </c>
      <c r="G451" s="174" t="s">
        <v>1041</v>
      </c>
      <c r="H451" s="174" t="s">
        <v>330</v>
      </c>
      <c r="I451" s="174" t="s">
        <v>342</v>
      </c>
      <c r="J451" s="174" t="s">
        <v>324</v>
      </c>
      <c r="K451" s="174" t="s">
        <v>334</v>
      </c>
      <c r="L451" s="174">
        <v>20064570</v>
      </c>
      <c r="M451" s="185" t="s">
        <v>73</v>
      </c>
      <c r="N451" s="174" t="s">
        <v>958</v>
      </c>
      <c r="O451" s="174" t="s">
        <v>649</v>
      </c>
      <c r="P451" s="174" t="s">
        <v>386</v>
      </c>
      <c r="Q451" s="174" t="s">
        <v>412</v>
      </c>
      <c r="R451" s="174" t="s">
        <v>509</v>
      </c>
      <c r="T451" s="174">
        <v>3</v>
      </c>
      <c r="U451" s="184"/>
    </row>
    <row r="452" spans="1:21" ht="20.100000000000001" customHeight="1" x14ac:dyDescent="0.2">
      <c r="A452" s="74">
        <v>60148</v>
      </c>
      <c r="B452" s="179" t="s">
        <v>881</v>
      </c>
      <c r="D452" s="74" t="s">
        <v>881</v>
      </c>
      <c r="E452" s="174" t="s">
        <v>949</v>
      </c>
      <c r="F452" s="74" t="s">
        <v>671</v>
      </c>
      <c r="G452" s="213" t="s">
        <v>1042</v>
      </c>
      <c r="H452" s="174" t="s">
        <v>332</v>
      </c>
      <c r="I452" s="174" t="s">
        <v>351</v>
      </c>
      <c r="J452" s="174" t="s">
        <v>959</v>
      </c>
      <c r="K452" s="174" t="s">
        <v>881</v>
      </c>
      <c r="L452" s="174" t="s">
        <v>881</v>
      </c>
      <c r="M452" s="185" t="s">
        <v>881</v>
      </c>
      <c r="N452" s="174" t="s">
        <v>960</v>
      </c>
      <c r="O452" s="174" t="s">
        <v>462</v>
      </c>
      <c r="P452" s="174" t="s">
        <v>461</v>
      </c>
      <c r="Q452" s="174" t="s">
        <v>412</v>
      </c>
      <c r="R452" s="174" t="s">
        <v>509</v>
      </c>
      <c r="T452" s="174">
        <v>3</v>
      </c>
      <c r="U452" s="184"/>
    </row>
    <row r="453" spans="1:21" ht="20.100000000000001" customHeight="1" x14ac:dyDescent="0.2">
      <c r="A453" s="214">
        <v>60398</v>
      </c>
      <c r="B453" s="179" t="s">
        <v>881</v>
      </c>
      <c r="C453" s="214">
        <v>30024639</v>
      </c>
      <c r="D453" s="74" t="s">
        <v>881</v>
      </c>
      <c r="E453" s="174" t="s">
        <v>961</v>
      </c>
      <c r="F453" s="74" t="s">
        <v>687</v>
      </c>
      <c r="G453" s="174" t="s">
        <v>1054</v>
      </c>
      <c r="H453" s="174" t="s">
        <v>326</v>
      </c>
      <c r="I453" s="174" t="s">
        <v>342</v>
      </c>
      <c r="J453" s="174" t="s">
        <v>324</v>
      </c>
      <c r="K453" s="174" t="s">
        <v>334</v>
      </c>
      <c r="L453" s="184">
        <v>20062665</v>
      </c>
      <c r="M453" s="185" t="s">
        <v>73</v>
      </c>
      <c r="N453" s="174" t="s">
        <v>881</v>
      </c>
      <c r="O453" s="174" t="s">
        <v>463</v>
      </c>
      <c r="P453" s="174" t="s">
        <v>461</v>
      </c>
      <c r="Q453" s="174" t="s">
        <v>412</v>
      </c>
      <c r="R453" s="174" t="s">
        <v>509</v>
      </c>
      <c r="S453" s="184"/>
      <c r="T453" s="184">
        <v>3</v>
      </c>
      <c r="U453" s="174" t="s">
        <v>1264</v>
      </c>
    </row>
    <row r="454" spans="1:21" ht="20.100000000000001" customHeight="1" x14ac:dyDescent="0.2">
      <c r="A454" s="214">
        <v>60497</v>
      </c>
      <c r="B454" s="179" t="s">
        <v>881</v>
      </c>
      <c r="C454" s="214">
        <v>30024644</v>
      </c>
      <c r="D454" s="74" t="s">
        <v>881</v>
      </c>
      <c r="E454" s="174" t="s">
        <v>953</v>
      </c>
      <c r="F454" s="74" t="s">
        <v>671</v>
      </c>
      <c r="G454" s="174" t="s">
        <v>1054</v>
      </c>
      <c r="H454" s="174" t="s">
        <v>326</v>
      </c>
      <c r="I454" s="174" t="s">
        <v>962</v>
      </c>
      <c r="J454" s="174" t="s">
        <v>963</v>
      </c>
      <c r="K454" s="174" t="s">
        <v>334</v>
      </c>
      <c r="L454" s="184">
        <v>20063926</v>
      </c>
      <c r="M454" s="185" t="s">
        <v>73</v>
      </c>
      <c r="N454" s="174" t="s">
        <v>1433</v>
      </c>
      <c r="O454" s="174" t="s">
        <v>964</v>
      </c>
      <c r="P454" s="184" t="s">
        <v>726</v>
      </c>
      <c r="Q454" s="184" t="s">
        <v>727</v>
      </c>
      <c r="R454" s="174" t="s">
        <v>1196</v>
      </c>
      <c r="S454" s="184"/>
      <c r="T454" s="184">
        <v>4</v>
      </c>
      <c r="U454" s="184" t="s">
        <v>973</v>
      </c>
    </row>
    <row r="455" spans="1:21" ht="20.100000000000001" customHeight="1" x14ac:dyDescent="0.2">
      <c r="A455" s="214">
        <v>60594</v>
      </c>
      <c r="B455" s="179" t="s">
        <v>881</v>
      </c>
      <c r="C455" s="214">
        <v>30024633</v>
      </c>
      <c r="D455" s="74" t="s">
        <v>881</v>
      </c>
      <c r="E455" s="174" t="s">
        <v>953</v>
      </c>
      <c r="F455" s="74" t="s">
        <v>671</v>
      </c>
      <c r="G455" s="174" t="s">
        <v>1070</v>
      </c>
      <c r="H455" s="174" t="s">
        <v>330</v>
      </c>
      <c r="I455" s="174" t="s">
        <v>966</v>
      </c>
      <c r="J455" s="174" t="s">
        <v>356</v>
      </c>
      <c r="K455" s="174" t="s">
        <v>334</v>
      </c>
      <c r="L455" s="184" t="s">
        <v>971</v>
      </c>
      <c r="M455" s="185" t="s">
        <v>73</v>
      </c>
      <c r="N455" s="174" t="s">
        <v>965</v>
      </c>
      <c r="O455" s="174" t="s">
        <v>550</v>
      </c>
      <c r="P455" s="174" t="s">
        <v>551</v>
      </c>
      <c r="Q455" s="174" t="s">
        <v>412</v>
      </c>
      <c r="R455" s="174" t="s">
        <v>509</v>
      </c>
      <c r="S455" s="184"/>
      <c r="T455" s="184">
        <v>3</v>
      </c>
      <c r="U455" s="174" t="s">
        <v>996</v>
      </c>
    </row>
    <row r="456" spans="1:21" ht="20.100000000000001" customHeight="1" x14ac:dyDescent="0.2">
      <c r="A456" s="214">
        <v>60634</v>
      </c>
      <c r="B456" s="179" t="s">
        <v>881</v>
      </c>
      <c r="C456" s="214">
        <v>30024647</v>
      </c>
      <c r="D456" s="74" t="s">
        <v>881</v>
      </c>
      <c r="E456" s="174" t="s">
        <v>961</v>
      </c>
      <c r="F456" s="74" t="s">
        <v>671</v>
      </c>
      <c r="G456" s="174" t="s">
        <v>987</v>
      </c>
      <c r="H456" s="174" t="s">
        <v>330</v>
      </c>
      <c r="I456" s="174" t="s">
        <v>523</v>
      </c>
      <c r="J456" s="174" t="s">
        <v>543</v>
      </c>
      <c r="K456" s="174" t="s">
        <v>334</v>
      </c>
      <c r="L456" s="184">
        <v>20063641</v>
      </c>
      <c r="M456" s="185" t="s">
        <v>73</v>
      </c>
      <c r="N456" s="174" t="s">
        <v>544</v>
      </c>
      <c r="O456" s="174" t="s">
        <v>610</v>
      </c>
      <c r="P456" s="174" t="s">
        <v>385</v>
      </c>
      <c r="Q456" s="174" t="s">
        <v>412</v>
      </c>
      <c r="R456" s="174" t="s">
        <v>1196</v>
      </c>
      <c r="S456" s="184"/>
      <c r="T456" s="184">
        <v>3</v>
      </c>
      <c r="U456" s="184"/>
    </row>
    <row r="457" spans="1:21" ht="20.100000000000001" customHeight="1" x14ac:dyDescent="0.2">
      <c r="A457" s="214">
        <v>60791</v>
      </c>
      <c r="B457" s="179" t="s">
        <v>881</v>
      </c>
      <c r="C457" s="214">
        <v>30024640</v>
      </c>
      <c r="D457" s="74" t="s">
        <v>881</v>
      </c>
      <c r="E457" s="174" t="s">
        <v>617</v>
      </c>
      <c r="F457" s="174" t="s">
        <v>941</v>
      </c>
      <c r="G457" s="174" t="s">
        <v>1043</v>
      </c>
      <c r="H457" s="174" t="s">
        <v>329</v>
      </c>
      <c r="I457" s="174" t="s">
        <v>967</v>
      </c>
      <c r="J457" s="174" t="s">
        <v>246</v>
      </c>
      <c r="K457" s="174" t="s">
        <v>334</v>
      </c>
      <c r="L457" s="184">
        <v>20064648</v>
      </c>
      <c r="M457" s="185" t="s">
        <v>73</v>
      </c>
      <c r="N457" s="174" t="s">
        <v>881</v>
      </c>
      <c r="O457" s="174" t="s">
        <v>362</v>
      </c>
      <c r="P457" s="184" t="s">
        <v>1507</v>
      </c>
      <c r="Q457" s="174" t="s">
        <v>384</v>
      </c>
      <c r="R457" s="174" t="s">
        <v>1196</v>
      </c>
      <c r="S457" s="184"/>
      <c r="T457" s="184">
        <v>2</v>
      </c>
      <c r="U457" s="184"/>
    </row>
    <row r="458" spans="1:21" ht="20.100000000000001" customHeight="1" x14ac:dyDescent="0.2">
      <c r="A458" s="214">
        <v>60792</v>
      </c>
      <c r="B458" s="179" t="s">
        <v>881</v>
      </c>
      <c r="C458" s="214">
        <v>30024598</v>
      </c>
      <c r="D458" s="74" t="s">
        <v>881</v>
      </c>
      <c r="E458" s="174" t="s">
        <v>617</v>
      </c>
      <c r="F458" s="174" t="s">
        <v>941</v>
      </c>
      <c r="G458" s="174" t="s">
        <v>1058</v>
      </c>
      <c r="H458" s="174" t="s">
        <v>329</v>
      </c>
      <c r="I458" s="174" t="s">
        <v>354</v>
      </c>
      <c r="J458" s="174" t="s">
        <v>246</v>
      </c>
      <c r="K458" s="174" t="s">
        <v>334</v>
      </c>
      <c r="L458" s="184">
        <v>20064648</v>
      </c>
      <c r="M458" s="185" t="s">
        <v>73</v>
      </c>
      <c r="N458" s="174" t="s">
        <v>881</v>
      </c>
      <c r="O458" s="174" t="s">
        <v>362</v>
      </c>
      <c r="P458" s="184" t="s">
        <v>1507</v>
      </c>
      <c r="Q458" s="174" t="s">
        <v>384</v>
      </c>
      <c r="R458" s="174" t="s">
        <v>1196</v>
      </c>
      <c r="S458" s="184"/>
      <c r="T458" s="184">
        <v>2</v>
      </c>
      <c r="U458" s="184"/>
    </row>
    <row r="459" spans="1:21" ht="20.100000000000001" customHeight="1" x14ac:dyDescent="0.2">
      <c r="A459" s="214">
        <v>60817</v>
      </c>
      <c r="B459" s="179" t="s">
        <v>881</v>
      </c>
      <c r="C459" s="214">
        <v>30024636</v>
      </c>
      <c r="D459" s="74" t="s">
        <v>881</v>
      </c>
      <c r="E459" s="174" t="s">
        <v>870</v>
      </c>
      <c r="F459" s="74" t="s">
        <v>671</v>
      </c>
      <c r="G459" s="174" t="s">
        <v>1054</v>
      </c>
      <c r="H459" s="174" t="s">
        <v>326</v>
      </c>
      <c r="I459" s="174" t="s">
        <v>523</v>
      </c>
      <c r="J459" s="174" t="s">
        <v>543</v>
      </c>
      <c r="K459" s="174" t="s">
        <v>334</v>
      </c>
      <c r="L459" s="184">
        <v>20064642</v>
      </c>
      <c r="M459" s="185" t="s">
        <v>988</v>
      </c>
      <c r="N459" s="185" t="s">
        <v>988</v>
      </c>
      <c r="O459" s="174" t="s">
        <v>968</v>
      </c>
      <c r="P459" s="174" t="s">
        <v>1498</v>
      </c>
      <c r="Q459" s="174" t="s">
        <v>412</v>
      </c>
      <c r="R459" s="174" t="s">
        <v>509</v>
      </c>
      <c r="S459" s="184"/>
      <c r="T459" s="184">
        <v>2</v>
      </c>
      <c r="U459" s="184"/>
    </row>
    <row r="460" spans="1:21" ht="20.100000000000001" customHeight="1" x14ac:dyDescent="0.2">
      <c r="A460" s="214">
        <v>99686</v>
      </c>
      <c r="B460" s="179" t="s">
        <v>881</v>
      </c>
      <c r="C460" s="214">
        <v>30024646</v>
      </c>
      <c r="D460" s="74" t="s">
        <v>881</v>
      </c>
      <c r="E460" s="174" t="s">
        <v>953</v>
      </c>
      <c r="F460" s="74" t="s">
        <v>671</v>
      </c>
      <c r="G460" s="174" t="s">
        <v>987</v>
      </c>
      <c r="H460" s="174" t="s">
        <v>330</v>
      </c>
      <c r="I460" s="174" t="s">
        <v>627</v>
      </c>
      <c r="J460" s="174" t="s">
        <v>969</v>
      </c>
      <c r="K460" s="174" t="s">
        <v>334</v>
      </c>
      <c r="L460" s="184" t="s">
        <v>537</v>
      </c>
      <c r="M460" s="185" t="s">
        <v>73</v>
      </c>
      <c r="N460" s="174" t="s">
        <v>542</v>
      </c>
      <c r="O460" s="174" t="s">
        <v>970</v>
      </c>
      <c r="P460" s="184" t="s">
        <v>733</v>
      </c>
      <c r="Q460" s="184" t="s">
        <v>736</v>
      </c>
      <c r="R460" s="174" t="s">
        <v>1196</v>
      </c>
      <c r="S460" s="184"/>
      <c r="T460" s="184">
        <v>2</v>
      </c>
      <c r="U460" s="184" t="s">
        <v>974</v>
      </c>
    </row>
    <row r="461" spans="1:21" ht="20.100000000000001" customHeight="1" x14ac:dyDescent="0.2">
      <c r="A461" s="74">
        <v>60796</v>
      </c>
      <c r="B461" s="179" t="s">
        <v>881</v>
      </c>
      <c r="C461" s="74">
        <v>30024643</v>
      </c>
      <c r="D461" s="74" t="s">
        <v>881</v>
      </c>
      <c r="E461" s="174" t="s">
        <v>975</v>
      </c>
      <c r="F461" s="174" t="s">
        <v>941</v>
      </c>
      <c r="G461" s="174" t="s">
        <v>1058</v>
      </c>
      <c r="H461" s="174" t="s">
        <v>329</v>
      </c>
      <c r="I461" s="174" t="s">
        <v>354</v>
      </c>
      <c r="J461" s="174" t="s">
        <v>976</v>
      </c>
      <c r="K461" s="174" t="s">
        <v>334</v>
      </c>
      <c r="L461" s="174">
        <v>20063957</v>
      </c>
      <c r="M461" s="185" t="s">
        <v>73</v>
      </c>
      <c r="N461" s="174" t="s">
        <v>1101</v>
      </c>
      <c r="O461" s="174" t="s">
        <v>516</v>
      </c>
      <c r="P461" s="174" t="s">
        <v>367</v>
      </c>
      <c r="Q461" s="174" t="s">
        <v>507</v>
      </c>
      <c r="R461" s="174" t="s">
        <v>1196</v>
      </c>
      <c r="T461" s="174">
        <v>2</v>
      </c>
      <c r="U461" s="184"/>
    </row>
    <row r="462" spans="1:21" ht="20.100000000000001" customHeight="1" x14ac:dyDescent="0.2">
      <c r="A462" s="74">
        <v>60798</v>
      </c>
      <c r="B462" s="179" t="s">
        <v>881</v>
      </c>
      <c r="C462" s="74">
        <v>30024630</v>
      </c>
      <c r="D462" s="74" t="s">
        <v>881</v>
      </c>
      <c r="E462" s="174" t="s">
        <v>975</v>
      </c>
      <c r="F462" s="174" t="s">
        <v>941</v>
      </c>
      <c r="G462" s="174" t="s">
        <v>1058</v>
      </c>
      <c r="H462" s="174" t="s">
        <v>332</v>
      </c>
      <c r="I462" s="174" t="s">
        <v>977</v>
      </c>
      <c r="J462" s="174" t="s">
        <v>640</v>
      </c>
      <c r="K462" s="174" t="s">
        <v>334</v>
      </c>
      <c r="L462" s="174">
        <v>20065185</v>
      </c>
      <c r="M462" s="185" t="s">
        <v>73</v>
      </c>
      <c r="N462" s="174" t="s">
        <v>1101</v>
      </c>
      <c r="O462" s="174" t="s">
        <v>612</v>
      </c>
      <c r="P462" s="174" t="s">
        <v>367</v>
      </c>
      <c r="Q462" s="174" t="s">
        <v>507</v>
      </c>
      <c r="R462" s="174" t="s">
        <v>1196</v>
      </c>
      <c r="T462" s="174">
        <v>2</v>
      </c>
      <c r="U462" s="184"/>
    </row>
    <row r="463" spans="1:21" ht="20.100000000000001" customHeight="1" x14ac:dyDescent="0.2">
      <c r="A463" s="74">
        <v>60711</v>
      </c>
      <c r="B463" s="179" t="s">
        <v>881</v>
      </c>
      <c r="C463" s="74">
        <v>30024635</v>
      </c>
      <c r="D463" s="74" t="s">
        <v>881</v>
      </c>
      <c r="E463" s="174" t="s">
        <v>975</v>
      </c>
      <c r="F463" s="174" t="s">
        <v>978</v>
      </c>
      <c r="G463" s="174" t="s">
        <v>1058</v>
      </c>
      <c r="H463" s="174" t="s">
        <v>329</v>
      </c>
      <c r="I463" s="174" t="s">
        <v>354</v>
      </c>
      <c r="J463" s="174" t="s">
        <v>976</v>
      </c>
      <c r="K463" s="174" t="s">
        <v>334</v>
      </c>
      <c r="L463" s="174">
        <v>20063957</v>
      </c>
      <c r="M463" s="185" t="s">
        <v>73</v>
      </c>
      <c r="N463" s="174" t="s">
        <v>1101</v>
      </c>
      <c r="O463" s="174" t="s">
        <v>979</v>
      </c>
      <c r="P463" s="174" t="s">
        <v>367</v>
      </c>
      <c r="Q463" s="174" t="s">
        <v>507</v>
      </c>
      <c r="R463" s="174" t="s">
        <v>1196</v>
      </c>
      <c r="T463" s="174">
        <v>2</v>
      </c>
    </row>
    <row r="464" spans="1:21" ht="20.100000000000001" customHeight="1" x14ac:dyDescent="0.2">
      <c r="A464" s="74">
        <v>60425</v>
      </c>
      <c r="B464" s="179" t="s">
        <v>881</v>
      </c>
      <c r="C464" s="74">
        <v>30024344</v>
      </c>
      <c r="D464" s="74" t="s">
        <v>881</v>
      </c>
      <c r="E464" s="174" t="s">
        <v>953</v>
      </c>
      <c r="F464" s="74" t="s">
        <v>671</v>
      </c>
      <c r="G464" s="174" t="s">
        <v>1045</v>
      </c>
      <c r="H464" s="174" t="s">
        <v>326</v>
      </c>
      <c r="I464" s="174" t="s">
        <v>980</v>
      </c>
      <c r="J464" s="174" t="s">
        <v>981</v>
      </c>
      <c r="K464" s="174" t="s">
        <v>334</v>
      </c>
      <c r="L464" s="174">
        <v>20063523</v>
      </c>
      <c r="M464" s="185" t="s">
        <v>73</v>
      </c>
      <c r="N464" s="174" t="s">
        <v>881</v>
      </c>
      <c r="O464" s="174" t="s">
        <v>732</v>
      </c>
      <c r="P464" s="174" t="s">
        <v>982</v>
      </c>
      <c r="Q464" s="174" t="s">
        <v>736</v>
      </c>
      <c r="R464" s="174" t="s">
        <v>1196</v>
      </c>
      <c r="T464" s="174">
        <v>2</v>
      </c>
      <c r="U464" s="174" t="s">
        <v>983</v>
      </c>
    </row>
    <row r="465" spans="1:21" ht="20.100000000000001" customHeight="1" x14ac:dyDescent="0.2">
      <c r="A465" s="74">
        <v>99971</v>
      </c>
      <c r="B465" s="179" t="s">
        <v>881</v>
      </c>
      <c r="C465" s="74">
        <v>30024650</v>
      </c>
      <c r="D465" s="74" t="s">
        <v>881</v>
      </c>
      <c r="E465" s="174" t="s">
        <v>985</v>
      </c>
      <c r="F465" s="174" t="s">
        <v>687</v>
      </c>
      <c r="G465" s="174" t="s">
        <v>1044</v>
      </c>
      <c r="H465" s="174" t="s">
        <v>332</v>
      </c>
      <c r="I465" s="174" t="s">
        <v>540</v>
      </c>
      <c r="J465" s="174" t="s">
        <v>676</v>
      </c>
      <c r="K465" s="174" t="s">
        <v>334</v>
      </c>
      <c r="L465" s="174">
        <v>20062205</v>
      </c>
      <c r="M465" s="185" t="s">
        <v>73</v>
      </c>
      <c r="N465" s="174" t="s">
        <v>683</v>
      </c>
      <c r="O465" s="174" t="s">
        <v>388</v>
      </c>
      <c r="P465" s="174" t="s">
        <v>1496</v>
      </c>
      <c r="Q465" s="174" t="s">
        <v>406</v>
      </c>
      <c r="R465" s="174" t="s">
        <v>1196</v>
      </c>
      <c r="T465" s="174">
        <v>4</v>
      </c>
    </row>
    <row r="466" spans="1:21" ht="20.100000000000001" customHeight="1" x14ac:dyDescent="0.2">
      <c r="A466" s="74">
        <v>60059</v>
      </c>
      <c r="B466" s="179" t="s">
        <v>881</v>
      </c>
      <c r="C466" s="74">
        <v>30024093</v>
      </c>
      <c r="D466" s="74" t="s">
        <v>881</v>
      </c>
      <c r="E466" s="174" t="s">
        <v>953</v>
      </c>
      <c r="F466" s="74" t="s">
        <v>671</v>
      </c>
      <c r="G466" s="215" t="s">
        <v>989</v>
      </c>
      <c r="H466" s="174" t="s">
        <v>990</v>
      </c>
      <c r="I466" s="174" t="s">
        <v>536</v>
      </c>
      <c r="J466" s="174" t="s">
        <v>992</v>
      </c>
      <c r="K466" s="174" t="s">
        <v>334</v>
      </c>
      <c r="L466" s="174">
        <v>20062401</v>
      </c>
      <c r="M466" s="185" t="s">
        <v>73</v>
      </c>
      <c r="N466" s="174" t="s">
        <v>993</v>
      </c>
      <c r="O466" s="174" t="s">
        <v>488</v>
      </c>
      <c r="P466" s="174" t="s">
        <v>733</v>
      </c>
      <c r="Q466" s="174" t="s">
        <v>736</v>
      </c>
      <c r="R466" s="174" t="s">
        <v>1196</v>
      </c>
      <c r="T466" s="174">
        <v>3</v>
      </c>
      <c r="U466" s="216" t="s">
        <v>991</v>
      </c>
    </row>
    <row r="467" spans="1:21" ht="20.100000000000001" customHeight="1" x14ac:dyDescent="0.2">
      <c r="A467" s="74">
        <v>60775</v>
      </c>
      <c r="B467" s="179" t="s">
        <v>881</v>
      </c>
      <c r="C467" s="74">
        <v>30024653</v>
      </c>
      <c r="D467" s="74">
        <v>30023285</v>
      </c>
      <c r="E467" s="174" t="s">
        <v>617</v>
      </c>
      <c r="F467" s="74" t="s">
        <v>671</v>
      </c>
      <c r="G467" s="174" t="s">
        <v>1043</v>
      </c>
      <c r="H467" s="174" t="s">
        <v>332</v>
      </c>
      <c r="I467" s="174" t="s">
        <v>541</v>
      </c>
      <c r="J467" s="174" t="s">
        <v>648</v>
      </c>
      <c r="K467" s="174" t="s">
        <v>334</v>
      </c>
      <c r="L467" s="174">
        <v>20064373</v>
      </c>
      <c r="M467" s="185" t="s">
        <v>73</v>
      </c>
      <c r="N467" s="174" t="s">
        <v>683</v>
      </c>
      <c r="O467" s="174" t="s">
        <v>994</v>
      </c>
      <c r="P467" s="174" t="s">
        <v>1496</v>
      </c>
      <c r="Q467" s="174" t="s">
        <v>406</v>
      </c>
      <c r="R467" s="174" t="s">
        <v>1196</v>
      </c>
      <c r="T467" s="174">
        <v>4</v>
      </c>
    </row>
    <row r="468" spans="1:21" ht="20.100000000000001" customHeight="1" x14ac:dyDescent="0.2">
      <c r="A468" s="74">
        <v>99714</v>
      </c>
      <c r="B468" s="179" t="s">
        <v>881</v>
      </c>
      <c r="C468" s="74">
        <v>30024649</v>
      </c>
      <c r="D468" s="74" t="s">
        <v>881</v>
      </c>
      <c r="E468" s="174" t="s">
        <v>617</v>
      </c>
      <c r="F468" s="74" t="s">
        <v>671</v>
      </c>
      <c r="G468" s="174" t="s">
        <v>1041</v>
      </c>
      <c r="H468" s="174" t="s">
        <v>332</v>
      </c>
      <c r="I468" s="174" t="s">
        <v>342</v>
      </c>
      <c r="J468" s="174" t="s">
        <v>324</v>
      </c>
      <c r="K468" s="174" t="s">
        <v>334</v>
      </c>
      <c r="L468" s="174">
        <v>20060809</v>
      </c>
      <c r="M468" s="185" t="s">
        <v>73</v>
      </c>
      <c r="N468" s="174" t="s">
        <v>995</v>
      </c>
      <c r="O468" s="174" t="s">
        <v>420</v>
      </c>
      <c r="P468" s="174" t="s">
        <v>386</v>
      </c>
      <c r="Q468" s="174" t="s">
        <v>412</v>
      </c>
      <c r="R468" s="174" t="s">
        <v>509</v>
      </c>
      <c r="T468" s="174">
        <v>3</v>
      </c>
    </row>
    <row r="469" spans="1:21" ht="20.100000000000001" customHeight="1" x14ac:dyDescent="0.2">
      <c r="A469" s="74">
        <v>99564</v>
      </c>
      <c r="B469" s="179" t="s">
        <v>881</v>
      </c>
      <c r="C469" s="74">
        <v>30024301</v>
      </c>
      <c r="D469" s="74" t="s">
        <v>881</v>
      </c>
      <c r="E469" s="174" t="s">
        <v>997</v>
      </c>
      <c r="F469" s="74" t="s">
        <v>671</v>
      </c>
      <c r="G469" s="174" t="s">
        <v>1046</v>
      </c>
      <c r="H469" s="174" t="s">
        <v>329</v>
      </c>
      <c r="I469" s="174" t="s">
        <v>348</v>
      </c>
      <c r="J469" s="215" t="s">
        <v>349</v>
      </c>
      <c r="K469" s="174" t="s">
        <v>334</v>
      </c>
      <c r="L469" s="174">
        <v>20060376</v>
      </c>
      <c r="M469" s="185" t="s">
        <v>73</v>
      </c>
      <c r="N469" s="174" t="s">
        <v>1010</v>
      </c>
      <c r="O469" s="174" t="s">
        <v>398</v>
      </c>
      <c r="P469" s="174" t="s">
        <v>399</v>
      </c>
      <c r="Q469" s="174" t="s">
        <v>207</v>
      </c>
      <c r="R469" s="174" t="s">
        <v>1196</v>
      </c>
      <c r="T469" s="174" t="s">
        <v>633</v>
      </c>
    </row>
    <row r="470" spans="1:21" ht="20.100000000000001" customHeight="1" x14ac:dyDescent="0.2">
      <c r="A470" s="74">
        <v>60385</v>
      </c>
      <c r="B470" s="179" t="s">
        <v>881</v>
      </c>
      <c r="C470" s="74">
        <v>30024637</v>
      </c>
      <c r="D470" s="74" t="s">
        <v>881</v>
      </c>
      <c r="E470" s="174" t="s">
        <v>617</v>
      </c>
      <c r="F470" s="174" t="s">
        <v>941</v>
      </c>
      <c r="G470" s="174" t="s">
        <v>1058</v>
      </c>
      <c r="H470" s="174" t="s">
        <v>332</v>
      </c>
      <c r="I470" s="174" t="s">
        <v>977</v>
      </c>
      <c r="J470" s="174" t="s">
        <v>640</v>
      </c>
      <c r="K470" s="174" t="s">
        <v>334</v>
      </c>
      <c r="L470" s="174">
        <v>20065318</v>
      </c>
      <c r="M470" s="185" t="s">
        <v>73</v>
      </c>
      <c r="N470" s="174" t="s">
        <v>1101</v>
      </c>
      <c r="O470" s="174" t="s">
        <v>998</v>
      </c>
      <c r="P470" s="174" t="s">
        <v>367</v>
      </c>
      <c r="Q470" s="174" t="s">
        <v>507</v>
      </c>
      <c r="R470" s="174" t="s">
        <v>1196</v>
      </c>
      <c r="T470" s="174">
        <v>4</v>
      </c>
    </row>
    <row r="471" spans="1:21" ht="20.100000000000001" customHeight="1" x14ac:dyDescent="0.2">
      <c r="A471" s="74">
        <v>60560</v>
      </c>
      <c r="B471" s="179" t="s">
        <v>881</v>
      </c>
      <c r="C471" s="74">
        <v>30024651</v>
      </c>
      <c r="D471" s="74">
        <v>30022579</v>
      </c>
      <c r="E471" s="174" t="s">
        <v>617</v>
      </c>
      <c r="F471" s="74" t="s">
        <v>671</v>
      </c>
      <c r="G471" s="174" t="s">
        <v>999</v>
      </c>
      <c r="H471" s="174" t="s">
        <v>330</v>
      </c>
      <c r="I471" s="174" t="s">
        <v>342</v>
      </c>
      <c r="J471" s="174" t="s">
        <v>324</v>
      </c>
      <c r="K471" s="174" t="s">
        <v>334</v>
      </c>
      <c r="L471" s="174">
        <v>20063811</v>
      </c>
      <c r="M471" s="185" t="s">
        <v>73</v>
      </c>
      <c r="N471" s="174" t="s">
        <v>1008</v>
      </c>
      <c r="O471" s="174" t="s">
        <v>1000</v>
      </c>
      <c r="P471" s="174" t="s">
        <v>615</v>
      </c>
      <c r="Q471" s="174" t="s">
        <v>406</v>
      </c>
      <c r="R471" s="174" t="s">
        <v>1196</v>
      </c>
      <c r="T471" s="174">
        <v>4</v>
      </c>
    </row>
    <row r="472" spans="1:21" ht="20.100000000000001" customHeight="1" x14ac:dyDescent="0.2">
      <c r="A472" s="74">
        <v>99247</v>
      </c>
      <c r="B472" s="179" t="s">
        <v>881</v>
      </c>
      <c r="C472" s="74">
        <v>30023557</v>
      </c>
      <c r="D472" s="74" t="s">
        <v>881</v>
      </c>
      <c r="E472" s="174" t="s">
        <v>877</v>
      </c>
      <c r="F472" s="174" t="s">
        <v>687</v>
      </c>
      <c r="G472" s="174" t="s">
        <v>1041</v>
      </c>
      <c r="H472" s="174" t="s">
        <v>330</v>
      </c>
      <c r="I472" s="174" t="s">
        <v>1001</v>
      </c>
      <c r="J472" s="174" t="s">
        <v>1002</v>
      </c>
      <c r="K472" s="174" t="s">
        <v>334</v>
      </c>
      <c r="L472" s="174">
        <v>20060245</v>
      </c>
      <c r="M472" s="185" t="s">
        <v>73</v>
      </c>
      <c r="N472" s="174" t="s">
        <v>881</v>
      </c>
      <c r="O472" s="174" t="s">
        <v>1003</v>
      </c>
      <c r="P472" s="174" t="s">
        <v>832</v>
      </c>
      <c r="Q472" s="174" t="s">
        <v>412</v>
      </c>
      <c r="R472" s="174" t="s">
        <v>509</v>
      </c>
      <c r="T472" s="174">
        <v>3</v>
      </c>
    </row>
    <row r="473" spans="1:21" ht="20.100000000000001" customHeight="1" x14ac:dyDescent="0.2">
      <c r="A473" s="74">
        <v>60554</v>
      </c>
      <c r="B473" s="179" t="s">
        <v>881</v>
      </c>
      <c r="C473" s="74">
        <v>30022565</v>
      </c>
      <c r="D473" s="74" t="s">
        <v>881</v>
      </c>
      <c r="E473" s="174" t="s">
        <v>617</v>
      </c>
      <c r="F473" s="74" t="s">
        <v>671</v>
      </c>
      <c r="G473" s="153" t="s">
        <v>1004</v>
      </c>
      <c r="H473" s="174" t="s">
        <v>336</v>
      </c>
      <c r="I473" s="174" t="s">
        <v>1005</v>
      </c>
      <c r="J473" s="174" t="s">
        <v>1006</v>
      </c>
      <c r="K473" s="174" t="s">
        <v>334</v>
      </c>
      <c r="L473" s="174">
        <v>20062447</v>
      </c>
      <c r="M473" s="185" t="s">
        <v>73</v>
      </c>
      <c r="N473" s="174" t="s">
        <v>881</v>
      </c>
      <c r="O473" s="174" t="s">
        <v>609</v>
      </c>
      <c r="P473" s="174" t="s">
        <v>382</v>
      </c>
      <c r="Q473" s="174" t="s">
        <v>412</v>
      </c>
      <c r="R473" s="174" t="s">
        <v>1196</v>
      </c>
      <c r="T473" s="174">
        <v>3</v>
      </c>
    </row>
    <row r="474" spans="1:21" ht="20.100000000000001" customHeight="1" x14ac:dyDescent="0.2">
      <c r="A474" s="74">
        <v>60558</v>
      </c>
      <c r="B474" s="179" t="s">
        <v>881</v>
      </c>
      <c r="C474" s="74">
        <v>30024652</v>
      </c>
      <c r="D474" s="74">
        <v>30022576</v>
      </c>
      <c r="E474" s="174" t="s">
        <v>617</v>
      </c>
      <c r="F474" s="174" t="s">
        <v>941</v>
      </c>
      <c r="G474" s="174" t="s">
        <v>1056</v>
      </c>
      <c r="H474" s="174" t="s">
        <v>329</v>
      </c>
      <c r="I474" s="174" t="s">
        <v>354</v>
      </c>
      <c r="J474" s="174" t="s">
        <v>976</v>
      </c>
      <c r="K474" s="174" t="s">
        <v>334</v>
      </c>
      <c r="L474" s="174">
        <v>20063749</v>
      </c>
      <c r="M474" s="185" t="s">
        <v>73</v>
      </c>
      <c r="N474" s="174" t="s">
        <v>1101</v>
      </c>
      <c r="O474" s="174" t="s">
        <v>516</v>
      </c>
      <c r="P474" s="174" t="s">
        <v>367</v>
      </c>
      <c r="Q474" s="174" t="s">
        <v>507</v>
      </c>
      <c r="R474" s="174" t="s">
        <v>1196</v>
      </c>
      <c r="T474" s="174">
        <v>2</v>
      </c>
    </row>
    <row r="475" spans="1:21" ht="20.100000000000001" customHeight="1" x14ac:dyDescent="0.2">
      <c r="A475" s="74">
        <v>60419</v>
      </c>
      <c r="B475" s="179" t="s">
        <v>881</v>
      </c>
      <c r="C475" s="74">
        <v>30024432</v>
      </c>
      <c r="D475" s="74" t="s">
        <v>881</v>
      </c>
      <c r="E475" s="174" t="s">
        <v>997</v>
      </c>
      <c r="F475" s="174" t="s">
        <v>978</v>
      </c>
      <c r="G475" s="174" t="s">
        <v>1049</v>
      </c>
      <c r="H475" s="174" t="s">
        <v>329</v>
      </c>
      <c r="I475" s="174" t="s">
        <v>1007</v>
      </c>
      <c r="J475" s="174" t="s">
        <v>976</v>
      </c>
      <c r="K475" s="174" t="s">
        <v>334</v>
      </c>
      <c r="L475" s="174">
        <v>20063374</v>
      </c>
      <c r="M475" s="185" t="s">
        <v>73</v>
      </c>
      <c r="N475" s="174" t="s">
        <v>1101</v>
      </c>
      <c r="O475" s="174" t="s">
        <v>368</v>
      </c>
      <c r="P475" s="174" t="s">
        <v>367</v>
      </c>
      <c r="Q475" s="174" t="s">
        <v>507</v>
      </c>
      <c r="R475" s="174" t="s">
        <v>1196</v>
      </c>
      <c r="T475" s="174">
        <v>2</v>
      </c>
    </row>
    <row r="476" spans="1:21" ht="20.100000000000001" customHeight="1" x14ac:dyDescent="0.2">
      <c r="A476" s="74">
        <v>99249</v>
      </c>
      <c r="B476" s="179" t="s">
        <v>881</v>
      </c>
      <c r="C476" s="74">
        <v>30024641</v>
      </c>
      <c r="D476" s="74" t="s">
        <v>881</v>
      </c>
      <c r="E476" s="174" t="s">
        <v>877</v>
      </c>
      <c r="F476" s="174" t="s">
        <v>687</v>
      </c>
      <c r="G476" s="174" t="s">
        <v>1047</v>
      </c>
      <c r="H476" s="174" t="s">
        <v>332</v>
      </c>
      <c r="I476" s="174" t="s">
        <v>957</v>
      </c>
      <c r="J476" s="174" t="s">
        <v>1012</v>
      </c>
      <c r="K476" s="174" t="s">
        <v>334</v>
      </c>
      <c r="L476" s="174">
        <v>20060908</v>
      </c>
      <c r="M476" s="185" t="s">
        <v>73</v>
      </c>
      <c r="N476" s="174" t="s">
        <v>634</v>
      </c>
      <c r="O476" s="174" t="s">
        <v>421</v>
      </c>
      <c r="P476" s="174" t="s">
        <v>422</v>
      </c>
      <c r="Q476" s="174" t="s">
        <v>412</v>
      </c>
      <c r="R476" s="174" t="s">
        <v>509</v>
      </c>
      <c r="T476" s="174">
        <v>3</v>
      </c>
    </row>
    <row r="477" spans="1:21" ht="20.100000000000001" customHeight="1" x14ac:dyDescent="0.2">
      <c r="A477" s="74">
        <v>60559</v>
      </c>
      <c r="B477" s="179" t="s">
        <v>881</v>
      </c>
      <c r="C477" s="74">
        <v>30024431</v>
      </c>
      <c r="D477" s="74">
        <v>30022578</v>
      </c>
      <c r="E477" s="174" t="s">
        <v>617</v>
      </c>
      <c r="F477" s="74" t="s">
        <v>671</v>
      </c>
      <c r="G477" s="174" t="s">
        <v>999</v>
      </c>
      <c r="H477" s="174" t="s">
        <v>332</v>
      </c>
      <c r="I477" s="174" t="s">
        <v>614</v>
      </c>
      <c r="J477" s="174" t="s">
        <v>616</v>
      </c>
      <c r="K477" s="174" t="s">
        <v>334</v>
      </c>
      <c r="L477" s="174">
        <v>20063811</v>
      </c>
      <c r="M477" s="185" t="s">
        <v>73</v>
      </c>
      <c r="N477" s="174" t="s">
        <v>881</v>
      </c>
      <c r="O477" s="174" t="s">
        <v>1000</v>
      </c>
      <c r="P477" s="174" t="s">
        <v>615</v>
      </c>
      <c r="Q477" s="174" t="s">
        <v>406</v>
      </c>
      <c r="R477" s="174" t="s">
        <v>1196</v>
      </c>
      <c r="T477" s="174">
        <v>4</v>
      </c>
    </row>
    <row r="478" spans="1:21" ht="20.100000000000001" customHeight="1" x14ac:dyDescent="0.2">
      <c r="A478" s="74">
        <v>99743</v>
      </c>
      <c r="B478" s="179" t="s">
        <v>881</v>
      </c>
      <c r="C478" s="74">
        <v>30024411</v>
      </c>
      <c r="D478" s="74" t="s">
        <v>881</v>
      </c>
      <c r="E478" s="174" t="s">
        <v>617</v>
      </c>
      <c r="F478" s="174" t="s">
        <v>978</v>
      </c>
      <c r="G478" s="174" t="s">
        <v>1046</v>
      </c>
      <c r="H478" s="174" t="s">
        <v>329</v>
      </c>
      <c r="I478" s="174" t="s">
        <v>348</v>
      </c>
      <c r="J478" s="215" t="s">
        <v>349</v>
      </c>
      <c r="K478" s="174" t="s">
        <v>334</v>
      </c>
      <c r="L478" s="174">
        <v>20061726</v>
      </c>
      <c r="M478" s="185" t="s">
        <v>73</v>
      </c>
      <c r="N478" s="174" t="s">
        <v>881</v>
      </c>
      <c r="O478" s="174" t="s">
        <v>389</v>
      </c>
      <c r="P478" s="174" t="s">
        <v>1013</v>
      </c>
      <c r="Q478" s="174" t="s">
        <v>721</v>
      </c>
      <c r="R478" s="174" t="s">
        <v>509</v>
      </c>
      <c r="T478" s="174">
        <v>4</v>
      </c>
    </row>
    <row r="479" spans="1:21" ht="20.100000000000001" customHeight="1" x14ac:dyDescent="0.2">
      <c r="A479" s="217">
        <v>61650</v>
      </c>
      <c r="B479" s="179" t="s">
        <v>881</v>
      </c>
      <c r="C479" s="74">
        <v>30024852</v>
      </c>
      <c r="D479" s="217" t="s">
        <v>881</v>
      </c>
      <c r="E479" s="218" t="s">
        <v>975</v>
      </c>
      <c r="F479" s="74" t="s">
        <v>671</v>
      </c>
      <c r="G479" s="174" t="s">
        <v>1054</v>
      </c>
      <c r="H479" s="218" t="s">
        <v>326</v>
      </c>
      <c r="I479" s="218" t="s">
        <v>962</v>
      </c>
      <c r="J479" s="146" t="s">
        <v>963</v>
      </c>
      <c r="K479" s="174" t="s">
        <v>334</v>
      </c>
      <c r="L479" s="218">
        <v>20064934</v>
      </c>
      <c r="M479" s="219" t="s">
        <v>73</v>
      </c>
      <c r="N479" s="174" t="s">
        <v>1027</v>
      </c>
      <c r="O479" s="218" t="s">
        <v>1014</v>
      </c>
      <c r="P479" s="218" t="s">
        <v>1015</v>
      </c>
      <c r="Q479" s="218" t="s">
        <v>736</v>
      </c>
      <c r="R479" s="174" t="s">
        <v>1196</v>
      </c>
      <c r="S479" s="218"/>
      <c r="T479" s="218">
        <v>3</v>
      </c>
      <c r="U479" s="218" t="s">
        <v>983</v>
      </c>
    </row>
    <row r="480" spans="1:21" s="168" customFormat="1" ht="20.100000000000001" customHeight="1" x14ac:dyDescent="0.2">
      <c r="A480" s="220">
        <v>99821</v>
      </c>
      <c r="B480" s="181" t="s">
        <v>881</v>
      </c>
      <c r="C480" s="220">
        <v>30024654</v>
      </c>
      <c r="D480" s="220">
        <v>30020271</v>
      </c>
      <c r="E480" s="168" t="s">
        <v>949</v>
      </c>
      <c r="F480" s="168" t="s">
        <v>1019</v>
      </c>
      <c r="G480" s="168" t="s">
        <v>1045</v>
      </c>
      <c r="H480" s="168" t="s">
        <v>330</v>
      </c>
      <c r="I480" s="168" t="s">
        <v>358</v>
      </c>
      <c r="J480" s="172" t="s">
        <v>101</v>
      </c>
      <c r="K480" s="168" t="s">
        <v>334</v>
      </c>
      <c r="L480" s="221">
        <v>20062096</v>
      </c>
      <c r="M480" s="222" t="s">
        <v>73</v>
      </c>
      <c r="N480" s="168" t="s">
        <v>1241</v>
      </c>
      <c r="O480" s="168" t="s">
        <v>1020</v>
      </c>
      <c r="P480" s="168" t="s">
        <v>1139</v>
      </c>
      <c r="Q480" s="168" t="s">
        <v>220</v>
      </c>
      <c r="R480" s="168" t="s">
        <v>1196</v>
      </c>
      <c r="S480" s="221"/>
      <c r="T480" s="221">
        <v>4</v>
      </c>
      <c r="U480" s="221"/>
    </row>
    <row r="481" spans="1:21" ht="20.100000000000001" customHeight="1" x14ac:dyDescent="0.2">
      <c r="A481" s="217">
        <v>99823</v>
      </c>
      <c r="B481" s="179" t="s">
        <v>881</v>
      </c>
      <c r="C481" s="217">
        <v>3024655</v>
      </c>
      <c r="D481" s="217">
        <v>30020272</v>
      </c>
      <c r="E481" s="174" t="s">
        <v>949</v>
      </c>
      <c r="F481" s="174" t="s">
        <v>671</v>
      </c>
      <c r="G481" s="174" t="s">
        <v>987</v>
      </c>
      <c r="H481" s="174" t="s">
        <v>628</v>
      </c>
      <c r="I481" s="174" t="s">
        <v>1021</v>
      </c>
      <c r="J481" s="149" t="s">
        <v>1022</v>
      </c>
      <c r="K481" s="174" t="s">
        <v>334</v>
      </c>
      <c r="L481" s="218">
        <v>20061744</v>
      </c>
      <c r="M481" s="219" t="s">
        <v>73</v>
      </c>
      <c r="N481" s="174" t="s">
        <v>1028</v>
      </c>
      <c r="O481" s="174" t="s">
        <v>1023</v>
      </c>
      <c r="P481" s="174" t="s">
        <v>461</v>
      </c>
      <c r="Q481" s="174" t="s">
        <v>412</v>
      </c>
      <c r="R481" s="174" t="s">
        <v>509</v>
      </c>
      <c r="S481" s="218"/>
      <c r="T481" s="218">
        <v>3</v>
      </c>
      <c r="U481" s="174" t="s">
        <v>1024</v>
      </c>
    </row>
    <row r="482" spans="1:21" ht="20.100000000000001" customHeight="1" x14ac:dyDescent="0.2">
      <c r="A482" s="217">
        <v>60617</v>
      </c>
      <c r="B482" s="179" t="s">
        <v>881</v>
      </c>
      <c r="C482" s="217">
        <v>30024862</v>
      </c>
      <c r="D482" s="74" t="s">
        <v>881</v>
      </c>
      <c r="E482" s="174" t="s">
        <v>949</v>
      </c>
      <c r="F482" s="174" t="s">
        <v>1026</v>
      </c>
      <c r="G482" s="174" t="s">
        <v>1062</v>
      </c>
      <c r="H482" s="174" t="s">
        <v>330</v>
      </c>
      <c r="I482" s="218" t="s">
        <v>523</v>
      </c>
      <c r="J482" s="149" t="s">
        <v>543</v>
      </c>
      <c r="K482" s="174" t="s">
        <v>334</v>
      </c>
      <c r="L482" s="218">
        <v>20063442</v>
      </c>
      <c r="M482" s="219" t="s">
        <v>73</v>
      </c>
      <c r="N482" s="174" t="s">
        <v>881</v>
      </c>
      <c r="O482" s="174" t="s">
        <v>387</v>
      </c>
      <c r="P482" s="174" t="s">
        <v>383</v>
      </c>
      <c r="Q482" s="174" t="s">
        <v>412</v>
      </c>
      <c r="R482" s="174" t="s">
        <v>509</v>
      </c>
      <c r="S482" s="218"/>
      <c r="T482" s="218">
        <v>3</v>
      </c>
      <c r="U482" s="218"/>
    </row>
    <row r="483" spans="1:21" ht="20.100000000000001" customHeight="1" x14ac:dyDescent="0.2">
      <c r="A483" s="217">
        <v>60105</v>
      </c>
      <c r="B483" s="179" t="s">
        <v>881</v>
      </c>
      <c r="C483" s="217">
        <v>30024899</v>
      </c>
      <c r="D483" s="74" t="s">
        <v>881</v>
      </c>
      <c r="E483" s="174" t="s">
        <v>949</v>
      </c>
      <c r="F483" s="174" t="s">
        <v>687</v>
      </c>
      <c r="G483" s="174" t="s">
        <v>1047</v>
      </c>
      <c r="H483" s="174" t="s">
        <v>330</v>
      </c>
      <c r="I483" s="218" t="s">
        <v>342</v>
      </c>
      <c r="J483" s="149" t="s">
        <v>1029</v>
      </c>
      <c r="K483" s="174" t="s">
        <v>334</v>
      </c>
      <c r="L483" s="218">
        <v>20062447</v>
      </c>
      <c r="M483" s="219" t="s">
        <v>73</v>
      </c>
      <c r="N483" s="174" t="s">
        <v>881</v>
      </c>
      <c r="O483" s="174" t="s">
        <v>664</v>
      </c>
      <c r="P483" s="174" t="s">
        <v>382</v>
      </c>
      <c r="Q483" s="174" t="s">
        <v>412</v>
      </c>
      <c r="R483" s="174" t="s">
        <v>1196</v>
      </c>
      <c r="S483" s="218"/>
      <c r="T483" s="218">
        <v>3</v>
      </c>
      <c r="U483" s="218"/>
    </row>
    <row r="484" spans="1:21" ht="20.100000000000001" customHeight="1" x14ac:dyDescent="0.2">
      <c r="A484" s="223">
        <v>61300</v>
      </c>
      <c r="B484" s="179" t="s">
        <v>881</v>
      </c>
      <c r="C484" s="223">
        <v>30025130</v>
      </c>
      <c r="D484" s="223"/>
      <c r="E484" s="153" t="s">
        <v>949</v>
      </c>
      <c r="F484" s="174" t="s">
        <v>672</v>
      </c>
      <c r="G484" s="174" t="s">
        <v>1041</v>
      </c>
      <c r="H484" s="153" t="s">
        <v>332</v>
      </c>
      <c r="I484" s="153" t="s">
        <v>605</v>
      </c>
      <c r="J484" s="150" t="s">
        <v>109</v>
      </c>
      <c r="K484" s="174" t="s">
        <v>334</v>
      </c>
      <c r="L484" s="153">
        <v>20064682</v>
      </c>
      <c r="M484" s="219" t="s">
        <v>73</v>
      </c>
      <c r="N484" s="153" t="s">
        <v>951</v>
      </c>
      <c r="O484" s="153" t="s">
        <v>644</v>
      </c>
      <c r="P484" s="153" t="s">
        <v>385</v>
      </c>
      <c r="Q484" s="174" t="s">
        <v>412</v>
      </c>
      <c r="R484" s="153" t="s">
        <v>1196</v>
      </c>
      <c r="S484" s="153"/>
      <c r="T484" s="153">
        <v>3</v>
      </c>
      <c r="U484" s="153"/>
    </row>
    <row r="485" spans="1:21" ht="20.100000000000001" customHeight="1" x14ac:dyDescent="0.2">
      <c r="A485" s="223">
        <v>99875</v>
      </c>
      <c r="B485" s="179" t="s">
        <v>881</v>
      </c>
      <c r="C485" s="223">
        <v>30024869</v>
      </c>
      <c r="D485" s="223" t="s">
        <v>881</v>
      </c>
      <c r="E485" s="153" t="s">
        <v>949</v>
      </c>
      <c r="F485" s="174" t="s">
        <v>671</v>
      </c>
      <c r="G485" s="174" t="s">
        <v>1046</v>
      </c>
      <c r="H485" s="153" t="s">
        <v>332</v>
      </c>
      <c r="I485" s="153" t="s">
        <v>553</v>
      </c>
      <c r="J485" s="150" t="s">
        <v>527</v>
      </c>
      <c r="K485" s="174" t="s">
        <v>334</v>
      </c>
      <c r="L485" s="153">
        <v>20061967</v>
      </c>
      <c r="M485" s="219" t="s">
        <v>73</v>
      </c>
      <c r="N485" s="153" t="s">
        <v>542</v>
      </c>
      <c r="O485" s="153" t="s">
        <v>411</v>
      </c>
      <c r="P485" s="153" t="s">
        <v>1496</v>
      </c>
      <c r="Q485" s="153" t="s">
        <v>406</v>
      </c>
      <c r="R485" s="153" t="s">
        <v>1196</v>
      </c>
      <c r="S485" s="153"/>
      <c r="T485" s="153">
        <v>4</v>
      </c>
      <c r="U485" s="153"/>
    </row>
    <row r="486" spans="1:21" ht="20.100000000000001" customHeight="1" x14ac:dyDescent="0.2">
      <c r="A486" s="223">
        <v>60405</v>
      </c>
      <c r="B486" s="179" t="s">
        <v>881</v>
      </c>
      <c r="C486" s="223">
        <v>30024877</v>
      </c>
      <c r="D486" s="223" t="s">
        <v>881</v>
      </c>
      <c r="E486" s="153" t="s">
        <v>953</v>
      </c>
      <c r="F486" s="174" t="s">
        <v>671</v>
      </c>
      <c r="G486" s="174" t="s">
        <v>987</v>
      </c>
      <c r="H486" s="153" t="s">
        <v>330</v>
      </c>
      <c r="I486" s="218" t="s">
        <v>342</v>
      </c>
      <c r="J486" s="149" t="s">
        <v>1029</v>
      </c>
      <c r="K486" s="174" t="s">
        <v>334</v>
      </c>
      <c r="L486" s="153">
        <v>20063241</v>
      </c>
      <c r="M486" s="219" t="s">
        <v>73</v>
      </c>
      <c r="N486" s="153" t="s">
        <v>881</v>
      </c>
      <c r="O486" s="153" t="s">
        <v>460</v>
      </c>
      <c r="P486" s="153" t="s">
        <v>461</v>
      </c>
      <c r="Q486" s="174" t="s">
        <v>412</v>
      </c>
      <c r="R486" s="153" t="s">
        <v>509</v>
      </c>
      <c r="S486" s="153"/>
      <c r="T486" s="153">
        <v>3</v>
      </c>
      <c r="U486" s="153" t="s">
        <v>996</v>
      </c>
    </row>
    <row r="487" spans="1:21" ht="20.100000000000001" customHeight="1" x14ac:dyDescent="0.2">
      <c r="A487" s="223">
        <v>60813</v>
      </c>
      <c r="B487" s="179" t="s">
        <v>881</v>
      </c>
      <c r="C487" s="223">
        <v>30024875</v>
      </c>
      <c r="D487" s="223" t="s">
        <v>881</v>
      </c>
      <c r="E487" s="153" t="s">
        <v>949</v>
      </c>
      <c r="F487" s="174" t="s">
        <v>671</v>
      </c>
      <c r="G487" s="174" t="s">
        <v>987</v>
      </c>
      <c r="H487" s="153" t="s">
        <v>336</v>
      </c>
      <c r="I487" s="153" t="s">
        <v>966</v>
      </c>
      <c r="J487" s="150" t="s">
        <v>356</v>
      </c>
      <c r="K487" s="174" t="s">
        <v>334</v>
      </c>
      <c r="L487" s="153">
        <v>20064414</v>
      </c>
      <c r="M487" s="224" t="s">
        <v>73</v>
      </c>
      <c r="N487" s="153" t="s">
        <v>881</v>
      </c>
      <c r="O487" s="153" t="s">
        <v>1033</v>
      </c>
      <c r="P487" s="153" t="s">
        <v>1034</v>
      </c>
      <c r="Q487" s="174" t="s">
        <v>412</v>
      </c>
      <c r="R487" s="153" t="s">
        <v>509</v>
      </c>
      <c r="S487" s="153"/>
      <c r="T487" s="153">
        <v>3</v>
      </c>
      <c r="U487" s="153"/>
    </row>
    <row r="488" spans="1:21" ht="20.100000000000001" customHeight="1" x14ac:dyDescent="0.2">
      <c r="A488" s="223">
        <v>60948</v>
      </c>
      <c r="B488" s="179" t="s">
        <v>881</v>
      </c>
      <c r="C488" s="223">
        <v>30025132</v>
      </c>
      <c r="D488" s="223" t="s">
        <v>881</v>
      </c>
      <c r="E488" s="153" t="s">
        <v>949</v>
      </c>
      <c r="F488" s="174" t="s">
        <v>671</v>
      </c>
      <c r="G488" s="153" t="s">
        <v>1004</v>
      </c>
      <c r="H488" s="153" t="s">
        <v>336</v>
      </c>
      <c r="I488" s="153" t="s">
        <v>605</v>
      </c>
      <c r="J488" s="149" t="s">
        <v>1022</v>
      </c>
      <c r="K488" s="174" t="s">
        <v>334</v>
      </c>
      <c r="L488" s="153">
        <v>20064834</v>
      </c>
      <c r="M488" s="225" t="s">
        <v>73</v>
      </c>
      <c r="N488" s="153" t="s">
        <v>951</v>
      </c>
      <c r="O488" s="153" t="s">
        <v>501</v>
      </c>
      <c r="P488" s="153" t="s">
        <v>385</v>
      </c>
      <c r="Q488" s="174" t="s">
        <v>412</v>
      </c>
      <c r="R488" s="153" t="s">
        <v>1196</v>
      </c>
      <c r="S488" s="153"/>
      <c r="T488" s="153">
        <v>3</v>
      </c>
      <c r="U488" s="153"/>
    </row>
    <row r="489" spans="1:21" ht="20.100000000000001" customHeight="1" x14ac:dyDescent="0.2">
      <c r="A489" s="223">
        <v>60597</v>
      </c>
      <c r="B489" s="179" t="s">
        <v>881</v>
      </c>
      <c r="C489" s="223">
        <v>30024903</v>
      </c>
      <c r="D489" s="223" t="s">
        <v>881</v>
      </c>
      <c r="E489" s="153" t="s">
        <v>953</v>
      </c>
      <c r="F489" s="174" t="s">
        <v>671</v>
      </c>
      <c r="G489" s="153" t="s">
        <v>1035</v>
      </c>
      <c r="H489" s="153" t="s">
        <v>326</v>
      </c>
      <c r="I489" s="174" t="s">
        <v>523</v>
      </c>
      <c r="J489" s="149" t="s">
        <v>543</v>
      </c>
      <c r="K489" s="174" t="s">
        <v>334</v>
      </c>
      <c r="L489" s="153">
        <v>20063938</v>
      </c>
      <c r="M489" s="225" t="s">
        <v>73</v>
      </c>
      <c r="N489" s="153" t="s">
        <v>881</v>
      </c>
      <c r="O489" s="153" t="s">
        <v>1036</v>
      </c>
      <c r="P489" s="153" t="s">
        <v>826</v>
      </c>
      <c r="Q489" s="174" t="s">
        <v>412</v>
      </c>
      <c r="R489" s="153" t="s">
        <v>1196</v>
      </c>
      <c r="S489" s="153"/>
      <c r="T489" s="153">
        <v>3</v>
      </c>
      <c r="U489" s="153" t="s">
        <v>1037</v>
      </c>
    </row>
    <row r="490" spans="1:21" ht="20.100000000000001" customHeight="1" x14ac:dyDescent="0.2">
      <c r="A490" s="223">
        <v>60632</v>
      </c>
      <c r="B490" s="179" t="s">
        <v>881</v>
      </c>
      <c r="C490" s="223">
        <v>30024864</v>
      </c>
      <c r="D490" s="223" t="s">
        <v>881</v>
      </c>
      <c r="E490" s="153" t="s">
        <v>949</v>
      </c>
      <c r="F490" s="174" t="s">
        <v>671</v>
      </c>
      <c r="G490" s="174" t="s">
        <v>1045</v>
      </c>
      <c r="H490" s="153" t="s">
        <v>330</v>
      </c>
      <c r="I490" s="153" t="s">
        <v>966</v>
      </c>
      <c r="J490" s="150" t="s">
        <v>356</v>
      </c>
      <c r="K490" s="174" t="s">
        <v>334</v>
      </c>
      <c r="L490" s="153">
        <v>20063526</v>
      </c>
      <c r="M490" s="225" t="s">
        <v>73</v>
      </c>
      <c r="N490" s="153" t="s">
        <v>544</v>
      </c>
      <c r="O490" s="153" t="s">
        <v>501</v>
      </c>
      <c r="P490" s="153" t="s">
        <v>385</v>
      </c>
      <c r="Q490" s="174" t="s">
        <v>412</v>
      </c>
      <c r="R490" s="153" t="s">
        <v>1196</v>
      </c>
      <c r="S490" s="153"/>
      <c r="T490" s="153">
        <v>3</v>
      </c>
      <c r="U490" s="153"/>
    </row>
    <row r="491" spans="1:21" ht="20.100000000000001" customHeight="1" x14ac:dyDescent="0.2">
      <c r="A491" s="74">
        <v>60116</v>
      </c>
      <c r="B491" s="179" t="s">
        <v>881</v>
      </c>
      <c r="C491" s="74">
        <v>30024890</v>
      </c>
      <c r="D491" s="74" t="s">
        <v>881</v>
      </c>
      <c r="E491" s="153" t="s">
        <v>953</v>
      </c>
      <c r="F491" s="174" t="s">
        <v>671</v>
      </c>
      <c r="G491" s="174" t="s">
        <v>987</v>
      </c>
      <c r="H491" s="174" t="s">
        <v>326</v>
      </c>
      <c r="I491" s="174" t="s">
        <v>517</v>
      </c>
      <c r="J491" s="149" t="s">
        <v>1038</v>
      </c>
      <c r="K491" s="174" t="s">
        <v>334</v>
      </c>
      <c r="L491" s="174">
        <v>20062204</v>
      </c>
      <c r="M491" s="225" t="s">
        <v>73</v>
      </c>
      <c r="N491" s="174" t="s">
        <v>995</v>
      </c>
      <c r="O491" s="174" t="s">
        <v>381</v>
      </c>
      <c r="P491" s="174" t="s">
        <v>386</v>
      </c>
      <c r="Q491" s="174" t="s">
        <v>412</v>
      </c>
      <c r="R491" s="174" t="s">
        <v>509</v>
      </c>
      <c r="T491" s="174">
        <v>3</v>
      </c>
      <c r="U491" s="174" t="s">
        <v>996</v>
      </c>
    </row>
    <row r="492" spans="1:21" ht="20.100000000000001" customHeight="1" x14ac:dyDescent="0.2">
      <c r="A492" s="223">
        <v>60083</v>
      </c>
      <c r="B492" s="179" t="s">
        <v>881</v>
      </c>
      <c r="C492" s="223">
        <v>30024642</v>
      </c>
      <c r="D492" s="223" t="s">
        <v>881</v>
      </c>
      <c r="E492" s="153" t="s">
        <v>975</v>
      </c>
      <c r="F492" s="174" t="s">
        <v>671</v>
      </c>
      <c r="G492" s="174" t="s">
        <v>1070</v>
      </c>
      <c r="H492" s="153" t="s">
        <v>326</v>
      </c>
      <c r="I492" s="153" t="s">
        <v>536</v>
      </c>
      <c r="J492" s="150" t="s">
        <v>992</v>
      </c>
      <c r="K492" s="174" t="s">
        <v>334</v>
      </c>
      <c r="L492" s="153">
        <v>20062819</v>
      </c>
      <c r="M492" s="225" t="s">
        <v>73</v>
      </c>
      <c r="N492" s="153" t="s">
        <v>1039</v>
      </c>
      <c r="O492" s="153" t="s">
        <v>626</v>
      </c>
      <c r="P492" s="153" t="s">
        <v>735</v>
      </c>
      <c r="Q492" s="174" t="s">
        <v>412</v>
      </c>
      <c r="R492" s="153" t="s">
        <v>1196</v>
      </c>
      <c r="S492" s="153"/>
      <c r="T492" s="153">
        <v>3</v>
      </c>
      <c r="U492" s="174" t="s">
        <v>1040</v>
      </c>
    </row>
    <row r="493" spans="1:21" ht="20.100000000000001" customHeight="1" x14ac:dyDescent="0.2">
      <c r="A493" s="223">
        <v>61750</v>
      </c>
      <c r="B493" s="179" t="s">
        <v>881</v>
      </c>
      <c r="C493" s="223">
        <v>30024907</v>
      </c>
      <c r="D493" s="223" t="s">
        <v>881</v>
      </c>
      <c r="E493" s="153" t="s">
        <v>617</v>
      </c>
      <c r="F493" s="174" t="s">
        <v>671</v>
      </c>
      <c r="G493" s="174" t="s">
        <v>987</v>
      </c>
      <c r="H493" s="153" t="s">
        <v>336</v>
      </c>
      <c r="I493" s="153" t="s">
        <v>605</v>
      </c>
      <c r="J493" s="150" t="s">
        <v>109</v>
      </c>
      <c r="K493" s="174" t="s">
        <v>334</v>
      </c>
      <c r="L493" s="153">
        <v>20064942</v>
      </c>
      <c r="M493" s="225" t="s">
        <v>73</v>
      </c>
      <c r="N493" s="153" t="s">
        <v>881</v>
      </c>
      <c r="O493" s="153" t="s">
        <v>1075</v>
      </c>
      <c r="P493" s="153" t="s">
        <v>1498</v>
      </c>
      <c r="Q493" s="174" t="s">
        <v>412</v>
      </c>
      <c r="R493" s="153" t="s">
        <v>509</v>
      </c>
      <c r="S493" s="153"/>
      <c r="T493" s="153">
        <v>3</v>
      </c>
      <c r="U493" s="153"/>
    </row>
    <row r="494" spans="1:21" ht="20.100000000000001" customHeight="1" x14ac:dyDescent="0.2">
      <c r="A494" s="223">
        <v>60146</v>
      </c>
      <c r="B494" s="179" t="s">
        <v>881</v>
      </c>
      <c r="C494" s="223">
        <v>30024908</v>
      </c>
      <c r="D494" s="223" t="s">
        <v>881</v>
      </c>
      <c r="E494" s="153" t="s">
        <v>870</v>
      </c>
      <c r="F494" s="153" t="s">
        <v>1076</v>
      </c>
      <c r="G494" s="153" t="s">
        <v>1004</v>
      </c>
      <c r="H494" s="153" t="s">
        <v>326</v>
      </c>
      <c r="I494" s="153" t="s">
        <v>342</v>
      </c>
      <c r="J494" s="149" t="s">
        <v>1029</v>
      </c>
      <c r="K494" s="174" t="s">
        <v>334</v>
      </c>
      <c r="L494" s="153">
        <v>20062665</v>
      </c>
      <c r="M494" s="225" t="s">
        <v>73</v>
      </c>
      <c r="N494" s="153" t="s">
        <v>995</v>
      </c>
      <c r="O494" s="153" t="s">
        <v>649</v>
      </c>
      <c r="P494" s="153" t="s">
        <v>386</v>
      </c>
      <c r="Q494" s="174" t="s">
        <v>412</v>
      </c>
      <c r="R494" s="153" t="s">
        <v>509</v>
      </c>
      <c r="S494" s="153"/>
      <c r="T494" s="153">
        <v>3</v>
      </c>
      <c r="U494" s="153" t="s">
        <v>1077</v>
      </c>
    </row>
    <row r="495" spans="1:21" ht="20.100000000000001" customHeight="1" x14ac:dyDescent="0.2">
      <c r="A495" s="223">
        <v>60608</v>
      </c>
      <c r="B495" s="179" t="s">
        <v>881</v>
      </c>
      <c r="C495" s="223">
        <v>30025109</v>
      </c>
      <c r="D495" s="223" t="s">
        <v>881</v>
      </c>
      <c r="E495" s="153" t="s">
        <v>953</v>
      </c>
      <c r="F495" s="153" t="s">
        <v>671</v>
      </c>
      <c r="G495" s="153" t="s">
        <v>1054</v>
      </c>
      <c r="H495" s="153" t="s">
        <v>330</v>
      </c>
      <c r="I495" s="153" t="s">
        <v>966</v>
      </c>
      <c r="J495" s="150" t="s">
        <v>1079</v>
      </c>
      <c r="K495" s="174" t="s">
        <v>334</v>
      </c>
      <c r="L495" s="153">
        <v>20063938</v>
      </c>
      <c r="M495" s="225" t="s">
        <v>73</v>
      </c>
      <c r="N495" s="153" t="s">
        <v>881</v>
      </c>
      <c r="O495" s="153" t="s">
        <v>1078</v>
      </c>
      <c r="P495" s="153" t="s">
        <v>826</v>
      </c>
      <c r="Q495" s="174" t="s">
        <v>412</v>
      </c>
      <c r="R495" s="153" t="s">
        <v>1196</v>
      </c>
      <c r="S495" s="153"/>
      <c r="T495" s="153">
        <v>3</v>
      </c>
      <c r="U495" s="153" t="s">
        <v>1037</v>
      </c>
    </row>
    <row r="496" spans="1:21" ht="20.100000000000001" customHeight="1" x14ac:dyDescent="0.2">
      <c r="A496" s="223">
        <v>60735</v>
      </c>
      <c r="B496" s="179" t="s">
        <v>881</v>
      </c>
      <c r="C496" s="223">
        <v>30024861</v>
      </c>
      <c r="D496" s="223" t="s">
        <v>881</v>
      </c>
      <c r="E496" s="153" t="s">
        <v>949</v>
      </c>
      <c r="F496" s="153" t="s">
        <v>978</v>
      </c>
      <c r="G496" s="153" t="s">
        <v>1056</v>
      </c>
      <c r="H496" s="153" t="s">
        <v>329</v>
      </c>
      <c r="I496" s="174" t="s">
        <v>354</v>
      </c>
      <c r="J496" s="174" t="s">
        <v>976</v>
      </c>
      <c r="K496" s="174" t="s">
        <v>334</v>
      </c>
      <c r="L496" s="153">
        <v>20063957</v>
      </c>
      <c r="M496" s="225" t="s">
        <v>73</v>
      </c>
      <c r="N496" s="174" t="s">
        <v>1101</v>
      </c>
      <c r="O496" s="153" t="s">
        <v>979</v>
      </c>
      <c r="P496" s="153" t="s">
        <v>1080</v>
      </c>
      <c r="Q496" s="153" t="s">
        <v>507</v>
      </c>
      <c r="R496" s="153" t="s">
        <v>1196</v>
      </c>
      <c r="S496" s="153"/>
      <c r="T496" s="153">
        <v>2</v>
      </c>
      <c r="U496" s="153"/>
    </row>
    <row r="497" spans="1:21" ht="20.100000000000001" customHeight="1" x14ac:dyDescent="0.2">
      <c r="A497" s="223">
        <v>99946</v>
      </c>
      <c r="B497" s="179" t="s">
        <v>881</v>
      </c>
      <c r="C497" s="223">
        <v>30024884</v>
      </c>
      <c r="D497" s="223" t="s">
        <v>881</v>
      </c>
      <c r="E497" s="153" t="s">
        <v>877</v>
      </c>
      <c r="F497" s="153" t="s">
        <v>687</v>
      </c>
      <c r="G497" s="153" t="s">
        <v>987</v>
      </c>
      <c r="H497" s="153" t="s">
        <v>628</v>
      </c>
      <c r="I497" s="153" t="s">
        <v>337</v>
      </c>
      <c r="J497" s="153" t="s">
        <v>616</v>
      </c>
      <c r="K497" s="153" t="s">
        <v>334</v>
      </c>
      <c r="L497" s="153">
        <v>20062189</v>
      </c>
      <c r="M497" s="225" t="s">
        <v>73</v>
      </c>
      <c r="N497" s="153" t="s">
        <v>995</v>
      </c>
      <c r="O497" s="153" t="s">
        <v>421</v>
      </c>
      <c r="P497" s="153" t="s">
        <v>422</v>
      </c>
      <c r="Q497" s="153" t="s">
        <v>412</v>
      </c>
      <c r="R497" s="153" t="s">
        <v>509</v>
      </c>
      <c r="S497" s="153"/>
      <c r="T497" s="153">
        <v>3</v>
      </c>
      <c r="U497" s="153"/>
    </row>
    <row r="498" spans="1:21" ht="20.100000000000001" customHeight="1" x14ac:dyDescent="0.2">
      <c r="A498" s="223">
        <v>99904</v>
      </c>
      <c r="B498" s="179" t="s">
        <v>881</v>
      </c>
      <c r="C498" s="223">
        <v>30024897</v>
      </c>
      <c r="D498" s="74" t="s">
        <v>881</v>
      </c>
      <c r="E498" s="174" t="s">
        <v>877</v>
      </c>
      <c r="F498" s="153" t="s">
        <v>671</v>
      </c>
      <c r="G498" s="174" t="s">
        <v>1081</v>
      </c>
      <c r="H498" s="174" t="s">
        <v>330</v>
      </c>
      <c r="I498" s="153" t="s">
        <v>337</v>
      </c>
      <c r="J498" s="153" t="s">
        <v>616</v>
      </c>
      <c r="K498" s="174" t="s">
        <v>881</v>
      </c>
      <c r="L498" s="174" t="s">
        <v>881</v>
      </c>
      <c r="M498" s="224" t="s">
        <v>881</v>
      </c>
      <c r="N498" s="174" t="s">
        <v>1082</v>
      </c>
      <c r="O498" s="153" t="s">
        <v>421</v>
      </c>
      <c r="P498" s="153" t="s">
        <v>422</v>
      </c>
      <c r="Q498" s="153" t="s">
        <v>412</v>
      </c>
      <c r="R498" s="153" t="s">
        <v>509</v>
      </c>
      <c r="S498" s="153"/>
      <c r="T498" s="153">
        <v>3</v>
      </c>
      <c r="U498" s="153"/>
    </row>
    <row r="499" spans="1:21" ht="20.100000000000001" customHeight="1" x14ac:dyDescent="0.2">
      <c r="A499" s="223">
        <v>60415</v>
      </c>
      <c r="B499" s="179" t="s">
        <v>881</v>
      </c>
      <c r="C499" s="223">
        <v>30024865</v>
      </c>
      <c r="D499" s="74" t="s">
        <v>881</v>
      </c>
      <c r="E499" s="174" t="s">
        <v>617</v>
      </c>
      <c r="F499" s="153" t="s">
        <v>671</v>
      </c>
      <c r="G499" s="174" t="s">
        <v>1044</v>
      </c>
      <c r="H499" s="174" t="s">
        <v>332</v>
      </c>
      <c r="I499" s="174" t="s">
        <v>519</v>
      </c>
      <c r="J499" s="174" t="s">
        <v>101</v>
      </c>
      <c r="K499" s="153" t="s">
        <v>334</v>
      </c>
      <c r="L499" s="153">
        <v>20063442</v>
      </c>
      <c r="M499" s="225" t="s">
        <v>73</v>
      </c>
      <c r="N499" s="153"/>
      <c r="O499" s="174" t="s">
        <v>387</v>
      </c>
      <c r="P499" s="174" t="s">
        <v>383</v>
      </c>
      <c r="Q499" s="153" t="s">
        <v>412</v>
      </c>
      <c r="R499" s="153" t="s">
        <v>509</v>
      </c>
      <c r="S499" s="153"/>
      <c r="T499" s="153">
        <v>3</v>
      </c>
      <c r="U499" s="153"/>
    </row>
    <row r="500" spans="1:21" ht="20.100000000000001" customHeight="1" x14ac:dyDescent="0.2">
      <c r="A500" s="223">
        <v>99998</v>
      </c>
      <c r="B500" s="179" t="s">
        <v>881</v>
      </c>
      <c r="C500" s="223">
        <v>30024888</v>
      </c>
      <c r="D500" s="74" t="s">
        <v>881</v>
      </c>
      <c r="E500" s="174" t="s">
        <v>975</v>
      </c>
      <c r="F500" s="174" t="s">
        <v>687</v>
      </c>
      <c r="G500" s="174" t="s">
        <v>1083</v>
      </c>
      <c r="H500" s="174" t="s">
        <v>332</v>
      </c>
      <c r="I500" s="174" t="s">
        <v>540</v>
      </c>
      <c r="J500" s="174" t="s">
        <v>527</v>
      </c>
      <c r="K500" s="153" t="s">
        <v>334</v>
      </c>
      <c r="L500" s="153">
        <v>20062205</v>
      </c>
      <c r="M500" s="225" t="s">
        <v>73</v>
      </c>
      <c r="N500" s="174" t="s">
        <v>683</v>
      </c>
      <c r="O500" s="174" t="s">
        <v>388</v>
      </c>
      <c r="P500" s="174" t="s">
        <v>1496</v>
      </c>
      <c r="Q500" s="174" t="s">
        <v>406</v>
      </c>
      <c r="R500" s="174" t="s">
        <v>1196</v>
      </c>
      <c r="S500" s="153"/>
      <c r="T500" s="153">
        <v>4</v>
      </c>
      <c r="U500" s="153"/>
    </row>
    <row r="501" spans="1:21" ht="20.100000000000001" customHeight="1" x14ac:dyDescent="0.2">
      <c r="A501" s="223">
        <v>99982</v>
      </c>
      <c r="B501" s="179" t="s">
        <v>881</v>
      </c>
      <c r="C501" s="223">
        <v>30024880</v>
      </c>
      <c r="D501" s="74" t="s">
        <v>881</v>
      </c>
      <c r="E501" s="174" t="s">
        <v>949</v>
      </c>
      <c r="F501" s="174" t="s">
        <v>687</v>
      </c>
      <c r="G501" s="174" t="s">
        <v>1083</v>
      </c>
      <c r="H501" s="174" t="s">
        <v>332</v>
      </c>
      <c r="I501" s="174" t="s">
        <v>540</v>
      </c>
      <c r="J501" s="174" t="s">
        <v>527</v>
      </c>
      <c r="K501" s="153" t="s">
        <v>334</v>
      </c>
      <c r="L501" s="153">
        <v>20062205</v>
      </c>
      <c r="M501" s="225" t="s">
        <v>73</v>
      </c>
      <c r="N501" s="174" t="s">
        <v>683</v>
      </c>
      <c r="O501" s="174" t="s">
        <v>388</v>
      </c>
      <c r="P501" s="174" t="s">
        <v>1496</v>
      </c>
      <c r="Q501" s="174" t="s">
        <v>406</v>
      </c>
      <c r="R501" s="174" t="s">
        <v>1196</v>
      </c>
      <c r="S501" s="153"/>
      <c r="T501" s="153">
        <v>4</v>
      </c>
      <c r="U501" s="153"/>
    </row>
    <row r="502" spans="1:21" ht="20.100000000000001" customHeight="1" x14ac:dyDescent="0.2">
      <c r="A502" s="223">
        <v>60763</v>
      </c>
      <c r="B502" s="179" t="s">
        <v>881</v>
      </c>
      <c r="C502" s="223">
        <v>30024858</v>
      </c>
      <c r="D502" s="74" t="s">
        <v>881</v>
      </c>
      <c r="E502" s="174" t="s">
        <v>975</v>
      </c>
      <c r="F502" s="174" t="s">
        <v>671</v>
      </c>
      <c r="G502" s="174" t="s">
        <v>1083</v>
      </c>
      <c r="H502" s="174" t="s">
        <v>332</v>
      </c>
      <c r="I502" s="174" t="s">
        <v>541</v>
      </c>
      <c r="J502" s="174" t="s">
        <v>527</v>
      </c>
      <c r="K502" s="153" t="s">
        <v>334</v>
      </c>
      <c r="L502" s="153">
        <v>20064353</v>
      </c>
      <c r="M502" s="225" t="s">
        <v>73</v>
      </c>
      <c r="N502" s="174" t="s">
        <v>683</v>
      </c>
      <c r="O502" s="174" t="s">
        <v>388</v>
      </c>
      <c r="P502" s="174" t="s">
        <v>1496</v>
      </c>
      <c r="Q502" s="174" t="s">
        <v>406</v>
      </c>
      <c r="R502" s="174" t="s">
        <v>1196</v>
      </c>
      <c r="S502" s="153"/>
      <c r="T502" s="153">
        <v>4</v>
      </c>
      <c r="U502" s="153"/>
    </row>
    <row r="503" spans="1:21" ht="20.100000000000001" customHeight="1" x14ac:dyDescent="0.2">
      <c r="A503" s="223">
        <v>99651</v>
      </c>
      <c r="B503" s="179" t="s">
        <v>881</v>
      </c>
      <c r="C503" s="223">
        <v>30024905</v>
      </c>
      <c r="D503" s="74" t="s">
        <v>881</v>
      </c>
      <c r="E503" s="174" t="s">
        <v>1084</v>
      </c>
      <c r="F503" s="174" t="s">
        <v>671</v>
      </c>
      <c r="G503" s="174" t="s">
        <v>1081</v>
      </c>
      <c r="H503" s="174" t="s">
        <v>330</v>
      </c>
      <c r="I503" s="174" t="s">
        <v>1085</v>
      </c>
      <c r="J503" s="174" t="s">
        <v>1086</v>
      </c>
      <c r="K503" s="153" t="s">
        <v>334</v>
      </c>
      <c r="L503" s="153">
        <v>20061170</v>
      </c>
      <c r="M503" s="225" t="s">
        <v>73</v>
      </c>
      <c r="N503" s="174" t="s">
        <v>881</v>
      </c>
      <c r="O503" s="174" t="s">
        <v>449</v>
      </c>
      <c r="P503" s="174" t="s">
        <v>1087</v>
      </c>
      <c r="Q503" s="174" t="s">
        <v>396</v>
      </c>
      <c r="R503" s="174" t="s">
        <v>1196</v>
      </c>
      <c r="S503" s="153"/>
      <c r="T503" s="153">
        <v>1</v>
      </c>
      <c r="U503" s="153"/>
    </row>
    <row r="504" spans="1:21" ht="20.100000000000001" customHeight="1" x14ac:dyDescent="0.2">
      <c r="A504" s="223">
        <v>99696</v>
      </c>
      <c r="B504" s="179" t="s">
        <v>881</v>
      </c>
      <c r="C504" s="223">
        <v>30024886</v>
      </c>
      <c r="D504" s="223" t="s">
        <v>881</v>
      </c>
      <c r="E504" s="153" t="s">
        <v>953</v>
      </c>
      <c r="F504" s="153" t="s">
        <v>671</v>
      </c>
      <c r="G504" s="153" t="s">
        <v>987</v>
      </c>
      <c r="H504" s="153" t="s">
        <v>330</v>
      </c>
      <c r="I504" s="153" t="s">
        <v>342</v>
      </c>
      <c r="J504" s="153" t="s">
        <v>1029</v>
      </c>
      <c r="K504" s="153" t="s">
        <v>334</v>
      </c>
      <c r="L504" s="153">
        <v>20060556</v>
      </c>
      <c r="M504" s="225" t="s">
        <v>73</v>
      </c>
      <c r="N504" s="153" t="s">
        <v>995</v>
      </c>
      <c r="O504" s="153" t="s">
        <v>381</v>
      </c>
      <c r="P504" s="153" t="s">
        <v>386</v>
      </c>
      <c r="Q504" s="153" t="s">
        <v>412</v>
      </c>
      <c r="R504" s="153" t="s">
        <v>509</v>
      </c>
      <c r="S504" s="153"/>
      <c r="T504" s="153">
        <v>3</v>
      </c>
      <c r="U504" s="153" t="s">
        <v>1088</v>
      </c>
    </row>
    <row r="505" spans="1:21" ht="20.100000000000001" customHeight="1" x14ac:dyDescent="0.2">
      <c r="A505" s="223">
        <v>99954</v>
      </c>
      <c r="B505" s="179" t="s">
        <v>881</v>
      </c>
      <c r="C505" s="223">
        <v>30024887</v>
      </c>
      <c r="D505" s="223" t="s">
        <v>881</v>
      </c>
      <c r="E505" s="153" t="s">
        <v>953</v>
      </c>
      <c r="F505" s="153" t="s">
        <v>671</v>
      </c>
      <c r="G505" s="153" t="s">
        <v>987</v>
      </c>
      <c r="H505" s="153" t="s">
        <v>330</v>
      </c>
      <c r="I505" s="153" t="s">
        <v>342</v>
      </c>
      <c r="J505" s="153" t="s">
        <v>1029</v>
      </c>
      <c r="K505" s="153" t="s">
        <v>334</v>
      </c>
      <c r="L505" s="153">
        <v>20062204</v>
      </c>
      <c r="M505" s="225" t="s">
        <v>73</v>
      </c>
      <c r="N505" s="153" t="s">
        <v>995</v>
      </c>
      <c r="O505" s="153" t="s">
        <v>381</v>
      </c>
      <c r="P505" s="153" t="s">
        <v>386</v>
      </c>
      <c r="Q505" s="153" t="s">
        <v>412</v>
      </c>
      <c r="R505" s="153" t="s">
        <v>509</v>
      </c>
      <c r="S505" s="153"/>
      <c r="T505" s="153">
        <v>3</v>
      </c>
      <c r="U505" s="153" t="s">
        <v>996</v>
      </c>
    </row>
    <row r="506" spans="1:21" ht="20.100000000000001" customHeight="1" x14ac:dyDescent="0.2">
      <c r="A506" s="223">
        <v>99958</v>
      </c>
      <c r="B506" s="179" t="s">
        <v>881</v>
      </c>
      <c r="C506" s="223">
        <v>30024887</v>
      </c>
      <c r="D506" s="223" t="s">
        <v>881</v>
      </c>
      <c r="E506" s="153" t="s">
        <v>953</v>
      </c>
      <c r="F506" s="153" t="s">
        <v>671</v>
      </c>
      <c r="G506" s="174" t="s">
        <v>1070</v>
      </c>
      <c r="H506" s="153" t="s">
        <v>628</v>
      </c>
      <c r="I506" s="153" t="s">
        <v>342</v>
      </c>
      <c r="J506" s="153" t="s">
        <v>1029</v>
      </c>
      <c r="K506" s="153" t="s">
        <v>334</v>
      </c>
      <c r="L506" s="153">
        <v>20062204</v>
      </c>
      <c r="M506" s="225" t="s">
        <v>73</v>
      </c>
      <c r="N506" s="153" t="s">
        <v>995</v>
      </c>
      <c r="O506" s="153" t="s">
        <v>381</v>
      </c>
      <c r="P506" s="153" t="s">
        <v>386</v>
      </c>
      <c r="Q506" s="153" t="s">
        <v>412</v>
      </c>
      <c r="R506" s="153" t="s">
        <v>509</v>
      </c>
      <c r="S506" s="153"/>
      <c r="T506" s="153">
        <v>3</v>
      </c>
      <c r="U506" s="153" t="s">
        <v>996</v>
      </c>
    </row>
    <row r="507" spans="1:21" ht="20.100000000000001" customHeight="1" x14ac:dyDescent="0.2">
      <c r="A507" s="223">
        <v>99964</v>
      </c>
      <c r="B507" s="179" t="s">
        <v>881</v>
      </c>
      <c r="C507" s="223">
        <v>30024906</v>
      </c>
      <c r="D507" s="223" t="s">
        <v>881</v>
      </c>
      <c r="E507" s="153" t="s">
        <v>953</v>
      </c>
      <c r="F507" s="153" t="s">
        <v>671</v>
      </c>
      <c r="G507" s="174" t="s">
        <v>1070</v>
      </c>
      <c r="H507" s="153" t="s">
        <v>326</v>
      </c>
      <c r="I507" s="153" t="s">
        <v>517</v>
      </c>
      <c r="J507" s="149" t="s">
        <v>1089</v>
      </c>
      <c r="K507" s="174" t="s">
        <v>334</v>
      </c>
      <c r="L507" s="174">
        <v>20062204</v>
      </c>
      <c r="M507" s="225" t="s">
        <v>73</v>
      </c>
      <c r="N507" s="153" t="s">
        <v>881</v>
      </c>
      <c r="O507" s="153" t="s">
        <v>460</v>
      </c>
      <c r="P507" s="153" t="s">
        <v>461</v>
      </c>
      <c r="Q507" s="153" t="s">
        <v>412</v>
      </c>
      <c r="R507" s="153" t="s">
        <v>509</v>
      </c>
      <c r="S507" s="153"/>
      <c r="T507" s="153">
        <v>3</v>
      </c>
      <c r="U507" s="153" t="s">
        <v>996</v>
      </c>
    </row>
    <row r="508" spans="1:21" ht="20.100000000000001" customHeight="1" x14ac:dyDescent="0.2">
      <c r="A508" s="223">
        <v>60732</v>
      </c>
      <c r="B508" s="179" t="s">
        <v>881</v>
      </c>
      <c r="C508" s="223">
        <v>30024853</v>
      </c>
      <c r="D508" s="223" t="s">
        <v>881</v>
      </c>
      <c r="E508" s="153" t="s">
        <v>617</v>
      </c>
      <c r="F508" s="153" t="s">
        <v>1090</v>
      </c>
      <c r="G508" s="153" t="s">
        <v>1083</v>
      </c>
      <c r="H508" s="153" t="s">
        <v>332</v>
      </c>
      <c r="I508" s="153" t="s">
        <v>629</v>
      </c>
      <c r="J508" s="153" t="s">
        <v>1091</v>
      </c>
      <c r="K508" s="174" t="s">
        <v>334</v>
      </c>
      <c r="L508" s="153">
        <v>20064223</v>
      </c>
      <c r="M508" s="225" t="s">
        <v>73</v>
      </c>
      <c r="N508" s="153" t="s">
        <v>881</v>
      </c>
      <c r="O508" s="153" t="s">
        <v>660</v>
      </c>
      <c r="P508" s="153" t="s">
        <v>657</v>
      </c>
      <c r="Q508" s="153" t="s">
        <v>507</v>
      </c>
      <c r="R508" s="153" t="s">
        <v>509</v>
      </c>
      <c r="S508" s="153"/>
      <c r="T508" s="153" t="s">
        <v>633</v>
      </c>
      <c r="U508" s="153"/>
    </row>
    <row r="509" spans="1:21" ht="20.100000000000001" customHeight="1" x14ac:dyDescent="0.2">
      <c r="A509" s="223">
        <v>60728</v>
      </c>
      <c r="B509" s="179" t="s">
        <v>881</v>
      </c>
      <c r="C509" s="223">
        <v>30024851</v>
      </c>
      <c r="D509" s="223" t="s">
        <v>881</v>
      </c>
      <c r="E509" s="153" t="s">
        <v>617</v>
      </c>
      <c r="F509" s="153" t="s">
        <v>1090</v>
      </c>
      <c r="G509" s="153" t="s">
        <v>1056</v>
      </c>
      <c r="H509" s="153" t="s">
        <v>332</v>
      </c>
      <c r="I509" s="153" t="s">
        <v>1092</v>
      </c>
      <c r="J509" s="153" t="s">
        <v>1091</v>
      </c>
      <c r="K509" s="174" t="s">
        <v>334</v>
      </c>
      <c r="L509" s="153">
        <v>20064178</v>
      </c>
      <c r="M509" s="225" t="s">
        <v>73</v>
      </c>
      <c r="N509" s="153" t="s">
        <v>881</v>
      </c>
      <c r="O509" s="153" t="s">
        <v>660</v>
      </c>
      <c r="P509" s="153" t="s">
        <v>657</v>
      </c>
      <c r="Q509" s="153" t="s">
        <v>507</v>
      </c>
      <c r="R509" s="153" t="s">
        <v>509</v>
      </c>
      <c r="S509" s="153"/>
      <c r="T509" s="153" t="s">
        <v>633</v>
      </c>
      <c r="U509" s="153"/>
    </row>
    <row r="510" spans="1:21" ht="20.100000000000001" customHeight="1" x14ac:dyDescent="0.2">
      <c r="A510" s="223">
        <v>60738</v>
      </c>
      <c r="B510" s="179" t="s">
        <v>881</v>
      </c>
      <c r="C510" s="223">
        <v>30024904</v>
      </c>
      <c r="D510" s="223" t="s">
        <v>881</v>
      </c>
      <c r="E510" s="153" t="s">
        <v>997</v>
      </c>
      <c r="F510" s="153" t="s">
        <v>978</v>
      </c>
      <c r="G510" s="153" t="s">
        <v>1056</v>
      </c>
      <c r="H510" s="153" t="s">
        <v>329</v>
      </c>
      <c r="I510" s="174" t="s">
        <v>354</v>
      </c>
      <c r="J510" s="174" t="s">
        <v>976</v>
      </c>
      <c r="K510" s="174" t="s">
        <v>334</v>
      </c>
      <c r="L510" s="153">
        <v>20064177</v>
      </c>
      <c r="M510" s="225" t="s">
        <v>73</v>
      </c>
      <c r="N510" s="174" t="s">
        <v>1101</v>
      </c>
      <c r="O510" s="153" t="s">
        <v>979</v>
      </c>
      <c r="P510" s="153" t="s">
        <v>367</v>
      </c>
      <c r="Q510" s="153" t="s">
        <v>507</v>
      </c>
      <c r="R510" s="153" t="s">
        <v>1196</v>
      </c>
      <c r="S510" s="153"/>
      <c r="T510" s="153">
        <v>2</v>
      </c>
      <c r="U510" s="153"/>
    </row>
    <row r="511" spans="1:21" ht="20.100000000000001" customHeight="1" x14ac:dyDescent="0.2">
      <c r="A511" s="223">
        <v>60470</v>
      </c>
      <c r="B511" s="179" t="s">
        <v>881</v>
      </c>
      <c r="C511" s="223">
        <v>30024874</v>
      </c>
      <c r="D511" s="223" t="s">
        <v>881</v>
      </c>
      <c r="E511" s="153" t="s">
        <v>953</v>
      </c>
      <c r="F511" s="153" t="s">
        <v>671</v>
      </c>
      <c r="G511" s="153" t="s">
        <v>987</v>
      </c>
      <c r="H511" s="153" t="s">
        <v>330</v>
      </c>
      <c r="I511" s="153" t="s">
        <v>342</v>
      </c>
      <c r="J511" s="153" t="s">
        <v>1029</v>
      </c>
      <c r="K511" s="153" t="s">
        <v>334</v>
      </c>
      <c r="L511" s="153">
        <v>20063241</v>
      </c>
      <c r="M511" s="225" t="s">
        <v>73</v>
      </c>
      <c r="N511" s="153" t="s">
        <v>995</v>
      </c>
      <c r="O511" s="153" t="s">
        <v>381</v>
      </c>
      <c r="P511" s="153" t="s">
        <v>386</v>
      </c>
      <c r="Q511" s="153" t="s">
        <v>412</v>
      </c>
      <c r="R511" s="153" t="s">
        <v>509</v>
      </c>
      <c r="S511" s="153"/>
      <c r="T511" s="153">
        <v>3</v>
      </c>
      <c r="U511" s="153" t="s">
        <v>996</v>
      </c>
    </row>
    <row r="512" spans="1:21" ht="20.100000000000001" customHeight="1" x14ac:dyDescent="0.2">
      <c r="A512" s="223">
        <v>60373</v>
      </c>
      <c r="B512" s="179" t="s">
        <v>881</v>
      </c>
      <c r="C512" s="223">
        <v>30024881</v>
      </c>
      <c r="D512" s="223" t="s">
        <v>881</v>
      </c>
      <c r="E512" s="153" t="s">
        <v>953</v>
      </c>
      <c r="F512" s="153" t="s">
        <v>671</v>
      </c>
      <c r="G512" s="153" t="s">
        <v>987</v>
      </c>
      <c r="H512" s="153" t="s">
        <v>330</v>
      </c>
      <c r="I512" s="153" t="s">
        <v>517</v>
      </c>
      <c r="J512" s="149" t="s">
        <v>1089</v>
      </c>
      <c r="K512" s="153" t="s">
        <v>334</v>
      </c>
      <c r="L512" s="153">
        <v>20062416</v>
      </c>
      <c r="M512" s="225" t="s">
        <v>73</v>
      </c>
      <c r="N512" s="153" t="s">
        <v>1093</v>
      </c>
      <c r="O512" s="153" t="s">
        <v>381</v>
      </c>
      <c r="P512" s="153" t="s">
        <v>386</v>
      </c>
      <c r="Q512" s="153" t="s">
        <v>412</v>
      </c>
      <c r="R512" s="153" t="s">
        <v>509</v>
      </c>
      <c r="S512" s="153"/>
      <c r="T512" s="153">
        <v>3</v>
      </c>
      <c r="U512" s="153" t="s">
        <v>996</v>
      </c>
    </row>
    <row r="513" spans="1:21" ht="20.100000000000001" customHeight="1" x14ac:dyDescent="0.2">
      <c r="A513" s="223">
        <v>60311</v>
      </c>
      <c r="B513" s="179" t="s">
        <v>881</v>
      </c>
      <c r="C513" s="223">
        <v>30024911</v>
      </c>
      <c r="D513" s="223" t="s">
        <v>881</v>
      </c>
      <c r="E513" s="153" t="s">
        <v>949</v>
      </c>
      <c r="F513" s="153" t="s">
        <v>671</v>
      </c>
      <c r="G513" s="153" t="s">
        <v>1045</v>
      </c>
      <c r="H513" s="153" t="s">
        <v>330</v>
      </c>
      <c r="I513" s="153" t="s">
        <v>523</v>
      </c>
      <c r="J513" s="149" t="s">
        <v>543</v>
      </c>
      <c r="K513" s="174" t="s">
        <v>334</v>
      </c>
      <c r="L513" s="153">
        <v>20062822</v>
      </c>
      <c r="M513" s="225" t="s">
        <v>73</v>
      </c>
      <c r="N513" s="153" t="s">
        <v>881</v>
      </c>
      <c r="O513" s="153" t="s">
        <v>387</v>
      </c>
      <c r="P513" s="153" t="s">
        <v>383</v>
      </c>
      <c r="Q513" s="153" t="s">
        <v>412</v>
      </c>
      <c r="R513" s="153" t="s">
        <v>509</v>
      </c>
      <c r="S513" s="153"/>
      <c r="T513" s="153">
        <v>3</v>
      </c>
      <c r="U513" s="153"/>
    </row>
    <row r="514" spans="1:21" ht="20.100000000000001" customHeight="1" x14ac:dyDescent="0.2">
      <c r="A514" s="223">
        <v>60080</v>
      </c>
      <c r="B514" s="179" t="s">
        <v>881</v>
      </c>
      <c r="C514" s="223">
        <v>30024876</v>
      </c>
      <c r="D514" s="223" t="s">
        <v>881</v>
      </c>
      <c r="E514" s="153" t="s">
        <v>949</v>
      </c>
      <c r="F514" s="153" t="s">
        <v>671</v>
      </c>
      <c r="G514" s="153" t="s">
        <v>1095</v>
      </c>
      <c r="H514" s="153" t="s">
        <v>332</v>
      </c>
      <c r="I514" s="153" t="s">
        <v>526</v>
      </c>
      <c r="J514" s="150" t="s">
        <v>1096</v>
      </c>
      <c r="K514" s="174" t="s">
        <v>334</v>
      </c>
      <c r="L514" s="153">
        <v>20062393</v>
      </c>
      <c r="M514" s="225" t="s">
        <v>73</v>
      </c>
      <c r="N514" s="153" t="s">
        <v>542</v>
      </c>
      <c r="O514" s="153" t="s">
        <v>411</v>
      </c>
      <c r="P514" s="153" t="s">
        <v>1496</v>
      </c>
      <c r="Q514" s="153" t="s">
        <v>406</v>
      </c>
      <c r="R514" s="153" t="s">
        <v>1196</v>
      </c>
      <c r="S514" s="153"/>
      <c r="T514" s="153">
        <v>4</v>
      </c>
      <c r="U514" s="153"/>
    </row>
    <row r="515" spans="1:21" ht="20.100000000000001" customHeight="1" x14ac:dyDescent="0.2">
      <c r="A515" s="223">
        <v>60422</v>
      </c>
      <c r="B515" s="179" t="s">
        <v>881</v>
      </c>
      <c r="C515" s="223">
        <v>30024867</v>
      </c>
      <c r="D515" s="223" t="s">
        <v>881</v>
      </c>
      <c r="E515" s="153" t="s">
        <v>997</v>
      </c>
      <c r="F515" s="153" t="s">
        <v>671</v>
      </c>
      <c r="G515" s="153" t="s">
        <v>1049</v>
      </c>
      <c r="H515" s="153" t="s">
        <v>329</v>
      </c>
      <c r="I515" s="153" t="s">
        <v>348</v>
      </c>
      <c r="J515" s="150" t="s">
        <v>349</v>
      </c>
      <c r="K515" s="174" t="s">
        <v>334</v>
      </c>
      <c r="L515" s="153">
        <v>20060376</v>
      </c>
      <c r="M515" s="225" t="s">
        <v>73</v>
      </c>
      <c r="N515" s="153" t="s">
        <v>881</v>
      </c>
      <c r="O515" s="153" t="s">
        <v>398</v>
      </c>
      <c r="P515" s="153" t="s">
        <v>399</v>
      </c>
      <c r="Q515" s="153" t="s">
        <v>207</v>
      </c>
      <c r="R515" s="153" t="s">
        <v>1196</v>
      </c>
      <c r="S515" s="153"/>
      <c r="T515" s="153" t="s">
        <v>633</v>
      </c>
      <c r="U515" s="153"/>
    </row>
    <row r="516" spans="1:21" ht="20.100000000000001" customHeight="1" x14ac:dyDescent="0.2">
      <c r="A516" s="223">
        <v>60314</v>
      </c>
      <c r="B516" s="179" t="s">
        <v>881</v>
      </c>
      <c r="C516" s="223">
        <v>30024872</v>
      </c>
      <c r="D516" s="223" t="s">
        <v>881</v>
      </c>
      <c r="E516" s="153" t="s">
        <v>949</v>
      </c>
      <c r="F516" s="153" t="s">
        <v>671</v>
      </c>
      <c r="G516" s="153" t="s">
        <v>1044</v>
      </c>
      <c r="H516" s="153" t="s">
        <v>332</v>
      </c>
      <c r="I516" s="153" t="s">
        <v>519</v>
      </c>
      <c r="J516" s="174" t="s">
        <v>101</v>
      </c>
      <c r="K516" s="153" t="s">
        <v>334</v>
      </c>
      <c r="L516" s="153" t="s">
        <v>688</v>
      </c>
      <c r="M516" s="225" t="s">
        <v>73</v>
      </c>
      <c r="N516" s="153" t="s">
        <v>1097</v>
      </c>
      <c r="O516" s="153" t="s">
        <v>387</v>
      </c>
      <c r="P516" s="153" t="s">
        <v>383</v>
      </c>
      <c r="Q516" s="153" t="s">
        <v>412</v>
      </c>
      <c r="R516" s="153" t="s">
        <v>509</v>
      </c>
      <c r="S516" s="153"/>
      <c r="T516" s="153">
        <v>3</v>
      </c>
      <c r="U516" s="153"/>
    </row>
    <row r="517" spans="1:21" ht="20.100000000000001" customHeight="1" x14ac:dyDescent="0.2">
      <c r="A517" s="223">
        <v>60237</v>
      </c>
      <c r="B517" s="179" t="s">
        <v>881</v>
      </c>
      <c r="C517" s="223">
        <v>30024910</v>
      </c>
      <c r="D517" s="223" t="s">
        <v>881</v>
      </c>
      <c r="E517" s="153" t="s">
        <v>975</v>
      </c>
      <c r="F517" s="153" t="s">
        <v>671</v>
      </c>
      <c r="G517" s="153" t="s">
        <v>1004</v>
      </c>
      <c r="H517" s="153" t="s">
        <v>326</v>
      </c>
      <c r="I517" s="153" t="s">
        <v>536</v>
      </c>
      <c r="J517" s="150" t="s">
        <v>992</v>
      </c>
      <c r="K517" s="174" t="s">
        <v>334</v>
      </c>
      <c r="L517" s="153">
        <v>20062423</v>
      </c>
      <c r="M517" s="225" t="s">
        <v>73</v>
      </c>
      <c r="N517" s="153" t="s">
        <v>881</v>
      </c>
      <c r="O517" s="153" t="s">
        <v>1098</v>
      </c>
      <c r="P517" s="153" t="s">
        <v>735</v>
      </c>
      <c r="Q517" s="153" t="s">
        <v>489</v>
      </c>
      <c r="R517" s="153" t="s">
        <v>1196</v>
      </c>
      <c r="S517" s="153"/>
      <c r="T517" s="153">
        <v>3</v>
      </c>
      <c r="U517" s="153" t="s">
        <v>1040</v>
      </c>
    </row>
    <row r="518" spans="1:21" ht="20.100000000000001" customHeight="1" x14ac:dyDescent="0.2">
      <c r="A518" s="223">
        <v>60247</v>
      </c>
      <c r="B518" s="179" t="s">
        <v>881</v>
      </c>
      <c r="C518" s="223">
        <v>30024866</v>
      </c>
      <c r="D518" s="223" t="s">
        <v>881</v>
      </c>
      <c r="E518" s="153" t="s">
        <v>975</v>
      </c>
      <c r="F518" s="153" t="s">
        <v>671</v>
      </c>
      <c r="G518" s="153" t="s">
        <v>1045</v>
      </c>
      <c r="H518" s="153" t="s">
        <v>330</v>
      </c>
      <c r="I518" s="153" t="s">
        <v>536</v>
      </c>
      <c r="J518" s="150" t="s">
        <v>992</v>
      </c>
      <c r="K518" s="174" t="s">
        <v>334</v>
      </c>
      <c r="L518" s="153">
        <v>20062423</v>
      </c>
      <c r="M518" s="225" t="s">
        <v>73</v>
      </c>
      <c r="N518" s="153" t="s">
        <v>881</v>
      </c>
      <c r="O518" s="153" t="s">
        <v>1098</v>
      </c>
      <c r="P518" s="153" t="s">
        <v>735</v>
      </c>
      <c r="Q518" s="153" t="s">
        <v>489</v>
      </c>
      <c r="R518" s="153" t="s">
        <v>1196</v>
      </c>
      <c r="S518" s="153"/>
      <c r="T518" s="153">
        <v>3</v>
      </c>
      <c r="U518" s="153" t="s">
        <v>1040</v>
      </c>
    </row>
    <row r="519" spans="1:21" ht="20.100000000000001" customHeight="1" x14ac:dyDescent="0.2">
      <c r="A519" s="223">
        <v>61050</v>
      </c>
      <c r="B519" s="179" t="s">
        <v>881</v>
      </c>
      <c r="C519" s="223">
        <v>30024859</v>
      </c>
      <c r="D519" s="223" t="s">
        <v>881</v>
      </c>
      <c r="E519" s="153" t="s">
        <v>949</v>
      </c>
      <c r="F519" s="153" t="s">
        <v>1090</v>
      </c>
      <c r="G519" s="153" t="s">
        <v>1056</v>
      </c>
      <c r="H519" s="153" t="s">
        <v>332</v>
      </c>
      <c r="I519" s="174" t="s">
        <v>977</v>
      </c>
      <c r="J519" s="174" t="s">
        <v>640</v>
      </c>
      <c r="K519" s="174" t="s">
        <v>334</v>
      </c>
      <c r="L519" s="174">
        <v>20065185</v>
      </c>
      <c r="M519" s="185" t="s">
        <v>73</v>
      </c>
      <c r="N519" s="174" t="s">
        <v>1101</v>
      </c>
      <c r="O519" s="153" t="s">
        <v>502</v>
      </c>
      <c r="P519" s="153" t="s">
        <v>367</v>
      </c>
      <c r="Q519" s="153" t="s">
        <v>507</v>
      </c>
      <c r="R519" s="153" t="s">
        <v>1196</v>
      </c>
      <c r="S519" s="153"/>
      <c r="T519" s="153">
        <v>2</v>
      </c>
      <c r="U519" s="153"/>
    </row>
    <row r="520" spans="1:21" ht="20.100000000000001" customHeight="1" x14ac:dyDescent="0.2">
      <c r="A520" s="223">
        <v>61800</v>
      </c>
      <c r="B520" s="179" t="s">
        <v>881</v>
      </c>
      <c r="C520" s="223">
        <v>30025019</v>
      </c>
      <c r="D520" s="74" t="s">
        <v>881</v>
      </c>
      <c r="E520" s="174" t="s">
        <v>949</v>
      </c>
      <c r="F520" s="153" t="s">
        <v>1090</v>
      </c>
      <c r="G520" s="153" t="s">
        <v>1056</v>
      </c>
      <c r="H520" s="153" t="s">
        <v>332</v>
      </c>
      <c r="I520" s="174" t="s">
        <v>629</v>
      </c>
      <c r="J520" s="149" t="s">
        <v>1091</v>
      </c>
      <c r="K520" s="174" t="s">
        <v>334</v>
      </c>
      <c r="L520" s="153">
        <v>20065186</v>
      </c>
      <c r="M520" s="185" t="s">
        <v>73</v>
      </c>
      <c r="N520" s="174" t="s">
        <v>881</v>
      </c>
      <c r="O520" s="174" t="s">
        <v>630</v>
      </c>
      <c r="P520" s="174" t="s">
        <v>657</v>
      </c>
      <c r="Q520" s="174" t="s">
        <v>507</v>
      </c>
      <c r="R520" s="174" t="s">
        <v>509</v>
      </c>
      <c r="S520" s="153"/>
      <c r="T520" s="174" t="s">
        <v>633</v>
      </c>
      <c r="U520" s="153"/>
    </row>
    <row r="521" spans="1:21" ht="20.100000000000001" customHeight="1" x14ac:dyDescent="0.2">
      <c r="A521" s="223">
        <v>61350</v>
      </c>
      <c r="B521" s="179" t="s">
        <v>881</v>
      </c>
      <c r="C521" s="223">
        <v>30025050</v>
      </c>
      <c r="D521" s="74" t="s">
        <v>881</v>
      </c>
      <c r="E521" s="174" t="s">
        <v>949</v>
      </c>
      <c r="F521" s="153" t="s">
        <v>1090</v>
      </c>
      <c r="G521" s="153" t="s">
        <v>1056</v>
      </c>
      <c r="H521" s="153" t="s">
        <v>332</v>
      </c>
      <c r="I521" s="174" t="s">
        <v>629</v>
      </c>
      <c r="J521" s="149" t="s">
        <v>1091</v>
      </c>
      <c r="K521" s="174" t="s">
        <v>334</v>
      </c>
      <c r="L521" s="153">
        <v>20065186</v>
      </c>
      <c r="M521" s="185" t="s">
        <v>73</v>
      </c>
      <c r="N521" s="174" t="s">
        <v>881</v>
      </c>
      <c r="O521" s="174" t="s">
        <v>630</v>
      </c>
      <c r="P521" s="174" t="s">
        <v>657</v>
      </c>
      <c r="Q521" s="174" t="s">
        <v>507</v>
      </c>
      <c r="R521" s="174" t="s">
        <v>509</v>
      </c>
      <c r="S521" s="153"/>
      <c r="T521" s="174" t="s">
        <v>633</v>
      </c>
      <c r="U521" s="153"/>
    </row>
    <row r="522" spans="1:21" ht="20.100000000000001" customHeight="1" x14ac:dyDescent="0.2">
      <c r="A522" s="223">
        <v>60633</v>
      </c>
      <c r="B522" s="179" t="s">
        <v>881</v>
      </c>
      <c r="C522" s="223">
        <v>30024868</v>
      </c>
      <c r="D522" s="223" t="s">
        <v>881</v>
      </c>
      <c r="E522" s="153" t="s">
        <v>870</v>
      </c>
      <c r="F522" s="153" t="s">
        <v>671</v>
      </c>
      <c r="G522" s="174" t="s">
        <v>1054</v>
      </c>
      <c r="H522" s="153" t="s">
        <v>330</v>
      </c>
      <c r="I522" s="153" t="s">
        <v>966</v>
      </c>
      <c r="J522" s="150" t="s">
        <v>356</v>
      </c>
      <c r="K522" s="174" t="s">
        <v>334</v>
      </c>
      <c r="L522" s="153">
        <v>20063663</v>
      </c>
      <c r="M522" s="185" t="s">
        <v>73</v>
      </c>
      <c r="N522" s="153" t="s">
        <v>1100</v>
      </c>
      <c r="O522" s="153" t="s">
        <v>524</v>
      </c>
      <c r="P522" s="153" t="s">
        <v>419</v>
      </c>
      <c r="Q522" s="153" t="s">
        <v>412</v>
      </c>
      <c r="R522" s="153" t="s">
        <v>509</v>
      </c>
      <c r="S522" s="153"/>
      <c r="T522" s="153">
        <v>3</v>
      </c>
      <c r="U522" s="153" t="s">
        <v>1077</v>
      </c>
    </row>
    <row r="523" spans="1:21" ht="20.100000000000001" customHeight="1" x14ac:dyDescent="0.2">
      <c r="A523" s="223">
        <v>60984</v>
      </c>
      <c r="B523" s="179" t="s">
        <v>881</v>
      </c>
      <c r="C523" s="223">
        <v>30025131</v>
      </c>
      <c r="D523" s="223" t="s">
        <v>881</v>
      </c>
      <c r="E523" s="153" t="s">
        <v>975</v>
      </c>
      <c r="F523" s="153" t="s">
        <v>1090</v>
      </c>
      <c r="G523" s="153" t="s">
        <v>1056</v>
      </c>
      <c r="H523" s="153" t="s">
        <v>332</v>
      </c>
      <c r="I523" s="174" t="s">
        <v>629</v>
      </c>
      <c r="J523" s="149" t="s">
        <v>1091</v>
      </c>
      <c r="K523" s="174" t="s">
        <v>334</v>
      </c>
      <c r="L523" s="153">
        <v>20065001</v>
      </c>
      <c r="M523" s="185" t="s">
        <v>73</v>
      </c>
      <c r="N523" s="153" t="s">
        <v>881</v>
      </c>
      <c r="O523" s="153" t="s">
        <v>651</v>
      </c>
      <c r="P523" s="174" t="s">
        <v>657</v>
      </c>
      <c r="Q523" s="174" t="s">
        <v>507</v>
      </c>
      <c r="R523" s="153" t="s">
        <v>509</v>
      </c>
      <c r="S523" s="153"/>
      <c r="T523" s="153" t="s">
        <v>633</v>
      </c>
      <c r="U523" s="153"/>
    </row>
    <row r="524" spans="1:21" ht="20.100000000000001" customHeight="1" x14ac:dyDescent="0.2">
      <c r="A524" s="223">
        <v>99963</v>
      </c>
      <c r="B524" s="179" t="s">
        <v>881</v>
      </c>
      <c r="C524" s="223">
        <v>30024885</v>
      </c>
      <c r="D524" s="223" t="s">
        <v>881</v>
      </c>
      <c r="E524" s="153" t="s">
        <v>953</v>
      </c>
      <c r="F524" s="153" t="s">
        <v>671</v>
      </c>
      <c r="G524" s="153" t="s">
        <v>1004</v>
      </c>
      <c r="H524" s="153" t="s">
        <v>628</v>
      </c>
      <c r="I524" s="153" t="s">
        <v>517</v>
      </c>
      <c r="J524" s="149" t="s">
        <v>1089</v>
      </c>
      <c r="K524" s="174" t="s">
        <v>334</v>
      </c>
      <c r="L524" s="174">
        <v>20062204</v>
      </c>
      <c r="M524" s="225" t="s">
        <v>73</v>
      </c>
      <c r="N524" s="153" t="s">
        <v>881</v>
      </c>
      <c r="O524" s="153" t="s">
        <v>460</v>
      </c>
      <c r="P524" s="153" t="s">
        <v>461</v>
      </c>
      <c r="Q524" s="153" t="s">
        <v>412</v>
      </c>
      <c r="R524" s="153" t="s">
        <v>509</v>
      </c>
      <c r="S524" s="153"/>
      <c r="T524" s="153">
        <v>3</v>
      </c>
      <c r="U524" s="153" t="s">
        <v>996</v>
      </c>
    </row>
    <row r="525" spans="1:21" ht="20.100000000000001" customHeight="1" x14ac:dyDescent="0.2">
      <c r="A525" s="223">
        <v>60451</v>
      </c>
      <c r="B525" s="179" t="s">
        <v>881</v>
      </c>
      <c r="C525" s="223">
        <v>30024882</v>
      </c>
      <c r="D525" s="223" t="s">
        <v>881</v>
      </c>
      <c r="E525" s="153" t="s">
        <v>870</v>
      </c>
      <c r="F525" s="153" t="s">
        <v>671</v>
      </c>
      <c r="G525" s="174" t="s">
        <v>987</v>
      </c>
      <c r="H525" s="153" t="s">
        <v>330</v>
      </c>
      <c r="I525" s="153" t="s">
        <v>966</v>
      </c>
      <c r="J525" s="150" t="s">
        <v>356</v>
      </c>
      <c r="K525" s="174" t="s">
        <v>334</v>
      </c>
      <c r="L525" s="153">
        <v>20063663</v>
      </c>
      <c r="M525" s="185" t="s">
        <v>73</v>
      </c>
      <c r="N525" s="153" t="s">
        <v>1100</v>
      </c>
      <c r="O525" s="153" t="s">
        <v>524</v>
      </c>
      <c r="P525" s="153" t="s">
        <v>419</v>
      </c>
      <c r="Q525" s="153" t="s">
        <v>412</v>
      </c>
      <c r="R525" s="153" t="s">
        <v>509</v>
      </c>
      <c r="S525" s="153"/>
      <c r="T525" s="153">
        <v>3</v>
      </c>
      <c r="U525" s="153" t="s">
        <v>1077</v>
      </c>
    </row>
    <row r="526" spans="1:21" ht="20.100000000000001" customHeight="1" x14ac:dyDescent="0.2">
      <c r="A526" s="223">
        <v>60985</v>
      </c>
      <c r="B526" s="179" t="s">
        <v>881</v>
      </c>
      <c r="C526" s="223">
        <v>30025128</v>
      </c>
      <c r="D526" s="223" t="s">
        <v>881</v>
      </c>
      <c r="E526" s="153" t="s">
        <v>975</v>
      </c>
      <c r="F526" s="153" t="s">
        <v>1090</v>
      </c>
      <c r="G526" s="174" t="s">
        <v>1083</v>
      </c>
      <c r="H526" s="153" t="s">
        <v>332</v>
      </c>
      <c r="I526" s="174" t="s">
        <v>629</v>
      </c>
      <c r="J526" s="149" t="s">
        <v>1091</v>
      </c>
      <c r="K526" s="174" t="s">
        <v>334</v>
      </c>
      <c r="L526" s="153">
        <v>20065001</v>
      </c>
      <c r="M526" s="185" t="s">
        <v>73</v>
      </c>
      <c r="N526" s="153" t="s">
        <v>881</v>
      </c>
      <c r="O526" s="153" t="s">
        <v>651</v>
      </c>
      <c r="P526" s="174" t="s">
        <v>657</v>
      </c>
      <c r="Q526" s="174" t="s">
        <v>507</v>
      </c>
      <c r="R526" s="153" t="s">
        <v>509</v>
      </c>
      <c r="S526" s="153"/>
      <c r="T526" s="153" t="s">
        <v>633</v>
      </c>
      <c r="U526" s="153"/>
    </row>
    <row r="527" spans="1:21" ht="20.100000000000001" customHeight="1" x14ac:dyDescent="0.2">
      <c r="A527" s="223">
        <v>60170</v>
      </c>
      <c r="B527" s="179" t="s">
        <v>881</v>
      </c>
      <c r="C527" s="223">
        <v>30024857</v>
      </c>
      <c r="D527" s="223" t="s">
        <v>881</v>
      </c>
      <c r="E527" s="174" t="s">
        <v>997</v>
      </c>
      <c r="F527" s="174" t="s">
        <v>978</v>
      </c>
      <c r="G527" s="174" t="s">
        <v>1049</v>
      </c>
      <c r="H527" s="174" t="s">
        <v>329</v>
      </c>
      <c r="I527" s="174" t="s">
        <v>1007</v>
      </c>
      <c r="J527" s="174" t="s">
        <v>976</v>
      </c>
      <c r="K527" s="174" t="s">
        <v>334</v>
      </c>
      <c r="L527" s="174">
        <v>20062667</v>
      </c>
      <c r="M527" s="185" t="s">
        <v>73</v>
      </c>
      <c r="N527" s="174" t="s">
        <v>1101</v>
      </c>
      <c r="O527" s="174" t="s">
        <v>368</v>
      </c>
      <c r="P527" s="153" t="s">
        <v>367</v>
      </c>
      <c r="Q527" s="153" t="s">
        <v>507</v>
      </c>
      <c r="R527" s="153" t="s">
        <v>1196</v>
      </c>
      <c r="S527" s="153"/>
      <c r="T527" s="153">
        <v>2</v>
      </c>
      <c r="U527" s="153"/>
    </row>
    <row r="528" spans="1:21" ht="20.100000000000001" customHeight="1" x14ac:dyDescent="0.2">
      <c r="A528" s="74">
        <v>60825</v>
      </c>
      <c r="B528" s="179" t="s">
        <v>881</v>
      </c>
      <c r="C528" s="74">
        <v>30025124</v>
      </c>
      <c r="D528" s="74" t="s">
        <v>881</v>
      </c>
      <c r="E528" s="174" t="s">
        <v>870</v>
      </c>
      <c r="F528" s="174" t="s">
        <v>671</v>
      </c>
      <c r="G528" s="174" t="s">
        <v>1004</v>
      </c>
      <c r="H528" s="174" t="s">
        <v>330</v>
      </c>
      <c r="I528" s="174" t="s">
        <v>1104</v>
      </c>
      <c r="J528" s="174" t="s">
        <v>1105</v>
      </c>
      <c r="K528" s="174" t="s">
        <v>334</v>
      </c>
      <c r="L528" s="174">
        <v>20064642</v>
      </c>
      <c r="M528" s="185" t="s">
        <v>73</v>
      </c>
      <c r="N528" s="174" t="s">
        <v>544</v>
      </c>
      <c r="O528" s="174" t="s">
        <v>968</v>
      </c>
      <c r="P528" s="174" t="s">
        <v>1498</v>
      </c>
      <c r="Q528" s="174" t="s">
        <v>412</v>
      </c>
      <c r="R528" s="174" t="s">
        <v>509</v>
      </c>
      <c r="T528" s="174">
        <v>3</v>
      </c>
      <c r="U528" s="153" t="s">
        <v>1077</v>
      </c>
    </row>
    <row r="529" spans="1:21" ht="20.100000000000001" customHeight="1" x14ac:dyDescent="0.2">
      <c r="A529" s="74">
        <v>60826</v>
      </c>
      <c r="B529" s="179" t="s">
        <v>881</v>
      </c>
      <c r="C529" s="74">
        <v>30025125</v>
      </c>
      <c r="D529" s="74" t="s">
        <v>881</v>
      </c>
      <c r="E529" s="174" t="s">
        <v>870</v>
      </c>
      <c r="F529" s="174" t="s">
        <v>671</v>
      </c>
      <c r="G529" s="174" t="s">
        <v>1004</v>
      </c>
      <c r="H529" s="174" t="s">
        <v>330</v>
      </c>
      <c r="I529" s="174" t="s">
        <v>954</v>
      </c>
      <c r="J529" s="174" t="s">
        <v>1106</v>
      </c>
      <c r="K529" s="174" t="s">
        <v>334</v>
      </c>
      <c r="L529" s="174">
        <v>20064642</v>
      </c>
      <c r="M529" s="185" t="s">
        <v>73</v>
      </c>
      <c r="N529" s="174" t="s">
        <v>881</v>
      </c>
      <c r="O529" s="174" t="s">
        <v>968</v>
      </c>
      <c r="P529" s="174" t="s">
        <v>1498</v>
      </c>
      <c r="Q529" s="174" t="s">
        <v>412</v>
      </c>
      <c r="R529" s="174" t="s">
        <v>509</v>
      </c>
      <c r="T529" s="174">
        <v>3</v>
      </c>
      <c r="U529" s="153" t="s">
        <v>1077</v>
      </c>
    </row>
    <row r="530" spans="1:21" ht="20.100000000000001" customHeight="1" x14ac:dyDescent="0.2">
      <c r="A530" s="74">
        <v>60104</v>
      </c>
      <c r="B530" s="179" t="s">
        <v>881</v>
      </c>
      <c r="C530" s="74">
        <v>30025085</v>
      </c>
      <c r="D530" s="74" t="s">
        <v>881</v>
      </c>
      <c r="E530" s="174" t="s">
        <v>949</v>
      </c>
      <c r="F530" s="174" t="s">
        <v>687</v>
      </c>
      <c r="G530" s="174" t="s">
        <v>1107</v>
      </c>
      <c r="H530" s="174" t="s">
        <v>330</v>
      </c>
      <c r="I530" s="174" t="s">
        <v>351</v>
      </c>
      <c r="J530" s="174" t="s">
        <v>1108</v>
      </c>
      <c r="K530" s="174" t="s">
        <v>1109</v>
      </c>
      <c r="L530" s="174">
        <v>20062447</v>
      </c>
      <c r="M530" s="185" t="s">
        <v>73</v>
      </c>
      <c r="N530" s="174" t="s">
        <v>881</v>
      </c>
      <c r="O530" s="174" t="s">
        <v>664</v>
      </c>
      <c r="P530" s="174" t="s">
        <v>382</v>
      </c>
      <c r="Q530" s="174" t="s">
        <v>412</v>
      </c>
      <c r="R530" s="174" t="s">
        <v>1196</v>
      </c>
      <c r="T530" s="174">
        <v>3</v>
      </c>
    </row>
    <row r="531" spans="1:21" ht="20.100000000000001" customHeight="1" x14ac:dyDescent="0.2">
      <c r="A531" s="74">
        <v>61600</v>
      </c>
      <c r="B531" s="179" t="s">
        <v>881</v>
      </c>
      <c r="C531" s="74">
        <v>30025126</v>
      </c>
      <c r="D531" s="74" t="s">
        <v>881</v>
      </c>
      <c r="E531" s="174" t="s">
        <v>949</v>
      </c>
      <c r="F531" s="174" t="s">
        <v>671</v>
      </c>
      <c r="G531" s="174" t="s">
        <v>1004</v>
      </c>
      <c r="H531" s="174" t="s">
        <v>336</v>
      </c>
      <c r="I531" s="174" t="s">
        <v>605</v>
      </c>
      <c r="J531" s="174" t="s">
        <v>109</v>
      </c>
      <c r="K531" s="174" t="s">
        <v>1109</v>
      </c>
      <c r="L531" s="174">
        <v>20064777</v>
      </c>
      <c r="M531" s="226" t="s">
        <v>73</v>
      </c>
      <c r="N531" s="174" t="s">
        <v>544</v>
      </c>
      <c r="O531" s="174" t="s">
        <v>644</v>
      </c>
      <c r="P531" s="174" t="s">
        <v>385</v>
      </c>
      <c r="Q531" s="174" t="s">
        <v>412</v>
      </c>
      <c r="R531" s="174" t="s">
        <v>1196</v>
      </c>
      <c r="S531" s="140"/>
      <c r="T531" s="174">
        <v>3</v>
      </c>
      <c r="U531" s="140"/>
    </row>
    <row r="532" spans="1:21" ht="20.100000000000001" customHeight="1" x14ac:dyDescent="0.2">
      <c r="A532" s="74">
        <v>60433</v>
      </c>
      <c r="B532" s="179" t="s">
        <v>881</v>
      </c>
      <c r="C532" s="74">
        <v>30024901</v>
      </c>
      <c r="D532" s="74" t="s">
        <v>881</v>
      </c>
      <c r="E532" s="174" t="s">
        <v>953</v>
      </c>
      <c r="F532" s="174" t="s">
        <v>671</v>
      </c>
      <c r="G532" s="174" t="s">
        <v>1054</v>
      </c>
      <c r="H532" s="174" t="s">
        <v>326</v>
      </c>
      <c r="I532" s="174" t="s">
        <v>523</v>
      </c>
      <c r="J532" s="174" t="s">
        <v>543</v>
      </c>
      <c r="K532" s="174" t="s">
        <v>1109</v>
      </c>
      <c r="L532" s="174" t="s">
        <v>971</v>
      </c>
      <c r="M532" s="226" t="s">
        <v>73</v>
      </c>
      <c r="N532" s="174" t="s">
        <v>544</v>
      </c>
      <c r="O532" s="174" t="s">
        <v>601</v>
      </c>
      <c r="P532" s="174" t="s">
        <v>419</v>
      </c>
      <c r="Q532" s="174" t="s">
        <v>412</v>
      </c>
      <c r="R532" s="174" t="s">
        <v>509</v>
      </c>
      <c r="S532" s="140"/>
      <c r="T532" s="174">
        <v>3</v>
      </c>
      <c r="U532" s="174" t="s">
        <v>996</v>
      </c>
    </row>
    <row r="533" spans="1:21" ht="20.100000000000001" customHeight="1" x14ac:dyDescent="0.2">
      <c r="A533" s="74">
        <v>60547</v>
      </c>
      <c r="B533" s="179" t="s">
        <v>881</v>
      </c>
      <c r="C533" s="74">
        <v>30024883</v>
      </c>
      <c r="D533" s="74" t="s">
        <v>881</v>
      </c>
      <c r="E533" s="174" t="s">
        <v>949</v>
      </c>
      <c r="F533" s="174" t="s">
        <v>671</v>
      </c>
      <c r="G533" s="174" t="s">
        <v>1004</v>
      </c>
      <c r="H533" s="174" t="s">
        <v>330</v>
      </c>
      <c r="I533" s="174" t="s">
        <v>342</v>
      </c>
      <c r="J533" s="174" t="s">
        <v>1029</v>
      </c>
      <c r="K533" s="174" t="s">
        <v>1109</v>
      </c>
      <c r="L533" s="174">
        <v>20063521</v>
      </c>
      <c r="M533" s="226" t="s">
        <v>73</v>
      </c>
      <c r="N533" s="174" t="s">
        <v>1220</v>
      </c>
      <c r="O533" s="174" t="s">
        <v>420</v>
      </c>
      <c r="P533" s="174" t="s">
        <v>386</v>
      </c>
      <c r="Q533" s="174" t="s">
        <v>412</v>
      </c>
      <c r="R533" s="174" t="s">
        <v>509</v>
      </c>
      <c r="S533" s="140"/>
      <c r="T533" s="174">
        <v>3</v>
      </c>
      <c r="U533" s="140"/>
    </row>
    <row r="534" spans="1:21" ht="20.100000000000001" customHeight="1" x14ac:dyDescent="0.2">
      <c r="A534" s="74">
        <v>60238</v>
      </c>
      <c r="B534" s="179" t="s">
        <v>881</v>
      </c>
      <c r="C534" s="74">
        <v>30025087</v>
      </c>
      <c r="D534" s="74" t="s">
        <v>881</v>
      </c>
      <c r="E534" s="174" t="s">
        <v>975</v>
      </c>
      <c r="F534" s="174" t="s">
        <v>671</v>
      </c>
      <c r="G534" s="174" t="s">
        <v>1221</v>
      </c>
      <c r="H534" s="174" t="s">
        <v>1222</v>
      </c>
      <c r="I534" s="174" t="s">
        <v>536</v>
      </c>
      <c r="J534" s="174" t="s">
        <v>1223</v>
      </c>
      <c r="K534" s="174" t="s">
        <v>1109</v>
      </c>
      <c r="L534" s="174">
        <v>20062423</v>
      </c>
      <c r="M534" s="226" t="s">
        <v>73</v>
      </c>
      <c r="N534" s="140"/>
      <c r="O534" s="174" t="s">
        <v>626</v>
      </c>
      <c r="P534" s="174" t="s">
        <v>735</v>
      </c>
      <c r="Q534" s="174" t="s">
        <v>489</v>
      </c>
      <c r="R534" s="174" t="s">
        <v>1196</v>
      </c>
      <c r="S534" s="140"/>
      <c r="T534" s="174">
        <v>3</v>
      </c>
      <c r="U534" s="174" t="s">
        <v>1040</v>
      </c>
    </row>
    <row r="535" spans="1:21" ht="20.100000000000001" customHeight="1" x14ac:dyDescent="0.2">
      <c r="A535" s="74">
        <v>60460</v>
      </c>
      <c r="B535" s="179" t="s">
        <v>881</v>
      </c>
      <c r="C535" s="74">
        <v>30025102</v>
      </c>
      <c r="D535" s="74" t="s">
        <v>881</v>
      </c>
      <c r="E535" s="174" t="s">
        <v>949</v>
      </c>
      <c r="F535" s="174" t="s">
        <v>672</v>
      </c>
      <c r="G535" s="174" t="s">
        <v>1045</v>
      </c>
      <c r="H535" s="174" t="s">
        <v>332</v>
      </c>
      <c r="I535" s="174" t="s">
        <v>614</v>
      </c>
      <c r="K535" s="174" t="s">
        <v>1109</v>
      </c>
      <c r="L535" s="174">
        <v>20063532</v>
      </c>
      <c r="M535" s="226" t="s">
        <v>73</v>
      </c>
      <c r="N535" s="174" t="s">
        <v>1229</v>
      </c>
      <c r="O535" s="174" t="s">
        <v>613</v>
      </c>
      <c r="P535" s="174" t="s">
        <v>615</v>
      </c>
      <c r="Q535" s="174" t="s">
        <v>406</v>
      </c>
      <c r="R535" s="174" t="s">
        <v>1196</v>
      </c>
      <c r="T535" s="174">
        <v>4</v>
      </c>
    </row>
    <row r="536" spans="1:21" ht="20.100000000000001" customHeight="1" x14ac:dyDescent="0.2">
      <c r="A536" s="74">
        <v>60413</v>
      </c>
      <c r="B536" s="179" t="s">
        <v>881</v>
      </c>
      <c r="C536" s="74">
        <v>30025100</v>
      </c>
      <c r="D536" s="74" t="s">
        <v>881</v>
      </c>
      <c r="E536" s="174" t="s">
        <v>975</v>
      </c>
      <c r="F536" s="174" t="s">
        <v>671</v>
      </c>
      <c r="G536" s="174" t="s">
        <v>1045</v>
      </c>
      <c r="H536" s="174" t="s">
        <v>332</v>
      </c>
      <c r="I536" s="174" t="s">
        <v>337</v>
      </c>
      <c r="J536" s="174" t="s">
        <v>338</v>
      </c>
      <c r="K536" s="174" t="s">
        <v>334</v>
      </c>
      <c r="L536" s="174">
        <v>20063244</v>
      </c>
      <c r="M536" s="185" t="s">
        <v>73</v>
      </c>
      <c r="N536" s="174" t="s">
        <v>881</v>
      </c>
      <c r="O536" s="174" t="s">
        <v>647</v>
      </c>
      <c r="P536" s="174" t="s">
        <v>482</v>
      </c>
      <c r="Q536" s="174" t="s">
        <v>412</v>
      </c>
      <c r="R536" s="174" t="s">
        <v>509</v>
      </c>
      <c r="T536" s="174">
        <v>3</v>
      </c>
      <c r="U536" s="184"/>
    </row>
    <row r="537" spans="1:21" ht="20.100000000000001" customHeight="1" x14ac:dyDescent="0.2">
      <c r="A537" s="74">
        <v>60469</v>
      </c>
      <c r="B537" s="179" t="s">
        <v>881</v>
      </c>
      <c r="C537" s="74">
        <v>30025103</v>
      </c>
      <c r="D537" s="74" t="s">
        <v>881</v>
      </c>
      <c r="E537" s="174" t="s">
        <v>617</v>
      </c>
      <c r="F537" s="74" t="s">
        <v>671</v>
      </c>
      <c r="G537" s="174" t="s">
        <v>987</v>
      </c>
      <c r="H537" s="174" t="s">
        <v>332</v>
      </c>
      <c r="I537" s="174" t="s">
        <v>342</v>
      </c>
      <c r="J537" s="174" t="s">
        <v>324</v>
      </c>
      <c r="K537" s="174" t="s">
        <v>334</v>
      </c>
      <c r="L537" s="174">
        <v>20063521</v>
      </c>
      <c r="M537" s="185" t="s">
        <v>73</v>
      </c>
      <c r="N537" s="174" t="s">
        <v>995</v>
      </c>
      <c r="O537" s="174" t="s">
        <v>420</v>
      </c>
      <c r="P537" s="174" t="s">
        <v>386</v>
      </c>
      <c r="Q537" s="174" t="s">
        <v>412</v>
      </c>
      <c r="R537" s="174" t="s">
        <v>509</v>
      </c>
      <c r="T537" s="174">
        <v>3</v>
      </c>
    </row>
    <row r="538" spans="1:21" ht="20.100000000000001" customHeight="1" x14ac:dyDescent="0.2">
      <c r="A538" s="214">
        <v>60577</v>
      </c>
      <c r="B538" s="179" t="s">
        <v>881</v>
      </c>
      <c r="C538" s="214">
        <v>30025105</v>
      </c>
      <c r="D538" s="74" t="s">
        <v>881</v>
      </c>
      <c r="E538" s="174" t="s">
        <v>953</v>
      </c>
      <c r="F538" s="74" t="s">
        <v>671</v>
      </c>
      <c r="G538" s="174" t="s">
        <v>1081</v>
      </c>
      <c r="H538" s="174" t="s">
        <v>330</v>
      </c>
      <c r="I538" s="174" t="s">
        <v>1230</v>
      </c>
      <c r="J538" s="174" t="s">
        <v>1231</v>
      </c>
      <c r="K538" s="174" t="s">
        <v>334</v>
      </c>
      <c r="L538" s="184">
        <v>20063926</v>
      </c>
      <c r="M538" s="185" t="s">
        <v>73</v>
      </c>
      <c r="N538" s="174" t="s">
        <v>1433</v>
      </c>
      <c r="O538" s="174" t="s">
        <v>964</v>
      </c>
      <c r="P538" s="184" t="s">
        <v>726</v>
      </c>
      <c r="Q538" s="184" t="s">
        <v>727</v>
      </c>
      <c r="R538" s="174" t="s">
        <v>1196</v>
      </c>
      <c r="S538" s="184"/>
      <c r="T538" s="184">
        <v>4</v>
      </c>
      <c r="U538" s="174" t="s">
        <v>1232</v>
      </c>
    </row>
    <row r="539" spans="1:21" ht="20.100000000000001" customHeight="1" x14ac:dyDescent="0.2">
      <c r="A539" s="223">
        <v>60501</v>
      </c>
      <c r="B539" s="179" t="s">
        <v>881</v>
      </c>
      <c r="C539" s="223">
        <v>30025104</v>
      </c>
      <c r="D539" s="223" t="s">
        <v>881</v>
      </c>
      <c r="E539" s="153" t="s">
        <v>953</v>
      </c>
      <c r="F539" s="153" t="s">
        <v>671</v>
      </c>
      <c r="G539" s="153" t="s">
        <v>1221</v>
      </c>
      <c r="H539" s="153" t="s">
        <v>326</v>
      </c>
      <c r="I539" s="153" t="s">
        <v>523</v>
      </c>
      <c r="J539" s="150" t="s">
        <v>543</v>
      </c>
      <c r="K539" s="174" t="s">
        <v>334</v>
      </c>
      <c r="L539" s="153">
        <v>20063938</v>
      </c>
      <c r="M539" s="225" t="s">
        <v>73</v>
      </c>
      <c r="N539" s="153" t="s">
        <v>881</v>
      </c>
      <c r="O539" s="153" t="s">
        <v>1078</v>
      </c>
      <c r="P539" s="153" t="s">
        <v>826</v>
      </c>
      <c r="Q539" s="174" t="s">
        <v>412</v>
      </c>
      <c r="R539" s="153" t="s">
        <v>1196</v>
      </c>
      <c r="S539" s="153"/>
      <c r="T539" s="153">
        <v>3</v>
      </c>
      <c r="U539" s="153" t="s">
        <v>1037</v>
      </c>
    </row>
    <row r="540" spans="1:21" ht="20.100000000000001" customHeight="1" x14ac:dyDescent="0.2">
      <c r="A540" s="223">
        <v>61850</v>
      </c>
      <c r="B540" s="179" t="s">
        <v>881</v>
      </c>
      <c r="C540" s="223">
        <v>30025248</v>
      </c>
      <c r="D540" s="223" t="s">
        <v>881</v>
      </c>
      <c r="E540" s="153" t="s">
        <v>949</v>
      </c>
      <c r="F540" s="153" t="s">
        <v>671</v>
      </c>
      <c r="G540" s="174" t="s">
        <v>1045</v>
      </c>
      <c r="H540" s="153" t="s">
        <v>336</v>
      </c>
      <c r="I540" s="153" t="s">
        <v>1104</v>
      </c>
      <c r="J540" s="150" t="s">
        <v>1105</v>
      </c>
      <c r="K540" s="174" t="s">
        <v>334</v>
      </c>
      <c r="L540" s="153">
        <v>20065033</v>
      </c>
      <c r="M540" s="225" t="s">
        <v>73</v>
      </c>
      <c r="N540" s="153" t="s">
        <v>881</v>
      </c>
      <c r="O540" s="153" t="s">
        <v>1233</v>
      </c>
      <c r="P540" s="153" t="s">
        <v>1499</v>
      </c>
      <c r="Q540" s="153" t="s">
        <v>412</v>
      </c>
      <c r="R540" s="153" t="s">
        <v>509</v>
      </c>
      <c r="S540" s="153"/>
      <c r="T540" s="153">
        <v>3</v>
      </c>
      <c r="U540" s="153"/>
    </row>
    <row r="541" spans="1:21" ht="20.100000000000001" customHeight="1" x14ac:dyDescent="0.2">
      <c r="A541" s="223">
        <v>60573</v>
      </c>
      <c r="B541" s="179" t="s">
        <v>881</v>
      </c>
      <c r="C541" s="223">
        <v>30025107</v>
      </c>
      <c r="D541" s="223" t="s">
        <v>881</v>
      </c>
      <c r="E541" s="153" t="s">
        <v>953</v>
      </c>
      <c r="F541" s="153" t="s">
        <v>671</v>
      </c>
      <c r="G541" s="153" t="s">
        <v>1045</v>
      </c>
      <c r="H541" s="153" t="s">
        <v>330</v>
      </c>
      <c r="I541" s="153" t="s">
        <v>1104</v>
      </c>
      <c r="J541" s="150" t="s">
        <v>1105</v>
      </c>
      <c r="K541" s="174" t="s">
        <v>334</v>
      </c>
      <c r="L541" s="153" t="s">
        <v>1235</v>
      </c>
      <c r="M541" s="225" t="s">
        <v>73</v>
      </c>
      <c r="N541" s="153" t="s">
        <v>881</v>
      </c>
      <c r="O541" s="153" t="s">
        <v>1234</v>
      </c>
      <c r="P541" s="153" t="s">
        <v>826</v>
      </c>
      <c r="Q541" s="174" t="s">
        <v>412</v>
      </c>
      <c r="R541" s="153" t="s">
        <v>1196</v>
      </c>
      <c r="S541" s="153"/>
      <c r="T541" s="153">
        <v>3</v>
      </c>
      <c r="U541" s="153" t="s">
        <v>1037</v>
      </c>
    </row>
    <row r="542" spans="1:21" ht="20.100000000000001" customHeight="1" x14ac:dyDescent="0.2">
      <c r="A542" s="223">
        <v>99995</v>
      </c>
      <c r="B542" s="179" t="s">
        <v>881</v>
      </c>
      <c r="C542" s="223">
        <v>30025081</v>
      </c>
      <c r="D542" s="223" t="s">
        <v>881</v>
      </c>
      <c r="E542" s="153" t="s">
        <v>953</v>
      </c>
      <c r="F542" s="153" t="s">
        <v>671</v>
      </c>
      <c r="G542" s="174" t="s">
        <v>987</v>
      </c>
      <c r="H542" s="153" t="s">
        <v>330</v>
      </c>
      <c r="I542" s="153" t="s">
        <v>536</v>
      </c>
      <c r="J542" s="150"/>
      <c r="K542" s="153" t="s">
        <v>1109</v>
      </c>
      <c r="L542" s="153" t="s">
        <v>1236</v>
      </c>
      <c r="M542" s="225" t="s">
        <v>73</v>
      </c>
      <c r="N542" s="153" t="s">
        <v>1237</v>
      </c>
      <c r="O542" s="153" t="s">
        <v>1238</v>
      </c>
      <c r="P542" s="153" t="s">
        <v>733</v>
      </c>
      <c r="Q542" s="153" t="s">
        <v>736</v>
      </c>
      <c r="R542" s="153" t="s">
        <v>1196</v>
      </c>
      <c r="S542" s="153"/>
      <c r="T542" s="153">
        <v>3</v>
      </c>
      <c r="U542" s="153" t="s">
        <v>1239</v>
      </c>
    </row>
    <row r="543" spans="1:21" ht="20.100000000000001" customHeight="1" x14ac:dyDescent="0.2">
      <c r="A543" s="214">
        <v>60619</v>
      </c>
      <c r="B543" s="179" t="s">
        <v>881</v>
      </c>
      <c r="C543" s="214">
        <v>30025110</v>
      </c>
      <c r="D543" s="74" t="s">
        <v>881</v>
      </c>
      <c r="E543" s="174" t="s">
        <v>617</v>
      </c>
      <c r="F543" s="174" t="s">
        <v>941</v>
      </c>
      <c r="G543" s="174" t="s">
        <v>1043</v>
      </c>
      <c r="H543" s="174" t="s">
        <v>329</v>
      </c>
      <c r="I543" s="174" t="s">
        <v>967</v>
      </c>
      <c r="J543" s="174" t="s">
        <v>246</v>
      </c>
      <c r="K543" s="174" t="s">
        <v>334</v>
      </c>
      <c r="L543" s="184">
        <v>20065179</v>
      </c>
      <c r="M543" s="185" t="s">
        <v>73</v>
      </c>
      <c r="N543" s="174" t="s">
        <v>881</v>
      </c>
      <c r="O543" s="174" t="s">
        <v>362</v>
      </c>
      <c r="P543" s="184" t="s">
        <v>1507</v>
      </c>
      <c r="Q543" s="174" t="s">
        <v>384</v>
      </c>
      <c r="R543" s="174" t="s">
        <v>1196</v>
      </c>
      <c r="S543" s="184"/>
      <c r="T543" s="184">
        <v>2</v>
      </c>
      <c r="U543" s="184"/>
    </row>
    <row r="544" spans="1:21" ht="20.100000000000001" customHeight="1" x14ac:dyDescent="0.2">
      <c r="A544" s="223">
        <v>60691</v>
      </c>
      <c r="B544" s="179" t="s">
        <v>881</v>
      </c>
      <c r="C544" s="223">
        <v>30024889</v>
      </c>
      <c r="D544" s="223" t="s">
        <v>881</v>
      </c>
      <c r="E544" s="174" t="s">
        <v>1244</v>
      </c>
      <c r="F544" s="174" t="s">
        <v>978</v>
      </c>
      <c r="G544" s="174" t="s">
        <v>1056</v>
      </c>
      <c r="H544" s="174" t="s">
        <v>332</v>
      </c>
      <c r="I544" s="174" t="s">
        <v>967</v>
      </c>
      <c r="J544" s="174" t="s">
        <v>976</v>
      </c>
      <c r="K544" s="174" t="s">
        <v>334</v>
      </c>
      <c r="L544" s="174">
        <v>20063860</v>
      </c>
      <c r="M544" s="185" t="s">
        <v>73</v>
      </c>
      <c r="N544" s="174" t="s">
        <v>1245</v>
      </c>
      <c r="O544" s="174" t="s">
        <v>516</v>
      </c>
      <c r="P544" s="153" t="s">
        <v>367</v>
      </c>
      <c r="Q544" s="153" t="s">
        <v>507</v>
      </c>
      <c r="R544" s="153" t="s">
        <v>1196</v>
      </c>
      <c r="S544" s="153"/>
      <c r="T544" s="153">
        <v>2</v>
      </c>
      <c r="U544" s="153"/>
    </row>
    <row r="545" spans="1:21" ht="20.100000000000001" customHeight="1" x14ac:dyDescent="0.2">
      <c r="A545" s="214">
        <v>60618</v>
      </c>
      <c r="B545" s="179" t="s">
        <v>881</v>
      </c>
      <c r="C545" s="214">
        <v>30024856</v>
      </c>
      <c r="D545" s="74" t="s">
        <v>881</v>
      </c>
      <c r="E545" s="174" t="s">
        <v>617</v>
      </c>
      <c r="F545" s="174" t="s">
        <v>941</v>
      </c>
      <c r="G545" s="174" t="s">
        <v>1058</v>
      </c>
      <c r="H545" s="174" t="s">
        <v>329</v>
      </c>
      <c r="I545" s="174" t="s">
        <v>967</v>
      </c>
      <c r="J545" s="174" t="s">
        <v>246</v>
      </c>
      <c r="K545" s="174" t="s">
        <v>334</v>
      </c>
      <c r="L545" s="184">
        <v>20065179</v>
      </c>
      <c r="M545" s="185" t="s">
        <v>73</v>
      </c>
      <c r="N545" s="174" t="s">
        <v>881</v>
      </c>
      <c r="O545" s="174" t="s">
        <v>362</v>
      </c>
      <c r="P545" s="184" t="s">
        <v>1507</v>
      </c>
      <c r="Q545" s="174" t="s">
        <v>384</v>
      </c>
      <c r="R545" s="174" t="s">
        <v>1196</v>
      </c>
      <c r="S545" s="184"/>
      <c r="T545" s="184">
        <v>2</v>
      </c>
      <c r="U545" s="184"/>
    </row>
    <row r="546" spans="1:21" ht="20.100000000000001" customHeight="1" x14ac:dyDescent="0.2">
      <c r="A546" s="74">
        <v>60322</v>
      </c>
      <c r="B546" s="179" t="s">
        <v>881</v>
      </c>
      <c r="C546" s="74">
        <v>30024873</v>
      </c>
      <c r="D546" s="74" t="s">
        <v>881</v>
      </c>
      <c r="E546" s="174" t="s">
        <v>870</v>
      </c>
      <c r="F546" s="174" t="s">
        <v>671</v>
      </c>
      <c r="G546" s="153" t="s">
        <v>1045</v>
      </c>
      <c r="H546" s="174" t="s">
        <v>330</v>
      </c>
      <c r="I546" s="174" t="s">
        <v>523</v>
      </c>
      <c r="J546" s="150" t="s">
        <v>543</v>
      </c>
      <c r="K546" s="174" t="s">
        <v>1109</v>
      </c>
      <c r="L546" s="174">
        <v>20062971</v>
      </c>
      <c r="M546" s="226" t="s">
        <v>73</v>
      </c>
      <c r="N546" s="174" t="s">
        <v>544</v>
      </c>
      <c r="O546" s="174" t="s">
        <v>610</v>
      </c>
      <c r="P546" s="174" t="s">
        <v>385</v>
      </c>
      <c r="Q546" s="174" t="s">
        <v>412</v>
      </c>
      <c r="R546" s="174" t="s">
        <v>1196</v>
      </c>
      <c r="S546" s="140"/>
      <c r="T546" s="174">
        <v>3</v>
      </c>
      <c r="U546" s="153" t="s">
        <v>1077</v>
      </c>
    </row>
    <row r="547" spans="1:21" ht="20.100000000000001" customHeight="1" x14ac:dyDescent="0.2">
      <c r="A547" s="74">
        <v>60452</v>
      </c>
      <c r="B547" s="179" t="s">
        <v>881</v>
      </c>
      <c r="C547" s="74">
        <v>30025101</v>
      </c>
      <c r="D547" s="74" t="s">
        <v>881</v>
      </c>
      <c r="E547" s="174" t="s">
        <v>949</v>
      </c>
      <c r="F547" s="174" t="s">
        <v>672</v>
      </c>
      <c r="G547" s="174" t="s">
        <v>999</v>
      </c>
      <c r="H547" s="174" t="s">
        <v>330</v>
      </c>
      <c r="I547" s="174" t="s">
        <v>342</v>
      </c>
      <c r="J547" s="153" t="s">
        <v>1029</v>
      </c>
      <c r="K547" s="174" t="s">
        <v>1109</v>
      </c>
      <c r="L547" s="174">
        <v>20063532</v>
      </c>
      <c r="M547" s="226" t="s">
        <v>73</v>
      </c>
      <c r="O547" s="174" t="s">
        <v>613</v>
      </c>
      <c r="P547" s="174" t="s">
        <v>615</v>
      </c>
      <c r="Q547" s="174" t="s">
        <v>406</v>
      </c>
      <c r="R547" s="174" t="s">
        <v>1196</v>
      </c>
      <c r="T547" s="174">
        <v>4</v>
      </c>
    </row>
    <row r="548" spans="1:21" ht="20.100000000000001" customHeight="1" x14ac:dyDescent="0.2">
      <c r="A548" s="223">
        <v>60611</v>
      </c>
      <c r="B548" s="179" t="s">
        <v>881</v>
      </c>
      <c r="C548" s="223">
        <v>30025236</v>
      </c>
      <c r="D548" s="223" t="s">
        <v>881</v>
      </c>
      <c r="E548" s="153" t="s">
        <v>953</v>
      </c>
      <c r="F548" s="153" t="s">
        <v>671</v>
      </c>
      <c r="G548" s="153" t="s">
        <v>1054</v>
      </c>
      <c r="H548" s="153" t="s">
        <v>330</v>
      </c>
      <c r="I548" s="153" t="s">
        <v>966</v>
      </c>
      <c r="J548" s="150" t="s">
        <v>356</v>
      </c>
      <c r="K548" s="174" t="s">
        <v>1109</v>
      </c>
      <c r="L548" s="153">
        <v>20063618</v>
      </c>
      <c r="M548" s="226" t="s">
        <v>73</v>
      </c>
      <c r="N548" s="174" t="s">
        <v>544</v>
      </c>
      <c r="O548" s="153" t="s">
        <v>601</v>
      </c>
      <c r="P548" s="153" t="s">
        <v>419</v>
      </c>
      <c r="Q548" s="153" t="s">
        <v>412</v>
      </c>
      <c r="R548" s="153" t="s">
        <v>509</v>
      </c>
      <c r="S548" s="153"/>
      <c r="T548" s="153">
        <v>3</v>
      </c>
      <c r="U548" s="153" t="s">
        <v>996</v>
      </c>
    </row>
    <row r="549" spans="1:21" ht="20.100000000000001" customHeight="1" x14ac:dyDescent="0.2">
      <c r="A549" s="223">
        <v>60323</v>
      </c>
      <c r="B549" s="179" t="s">
        <v>881</v>
      </c>
      <c r="C549" s="223">
        <v>30025089</v>
      </c>
      <c r="D549" s="223" t="s">
        <v>881</v>
      </c>
      <c r="E549" s="153" t="s">
        <v>949</v>
      </c>
      <c r="F549" s="153" t="s">
        <v>1246</v>
      </c>
      <c r="G549" s="153" t="s">
        <v>1045</v>
      </c>
      <c r="H549" s="153" t="s">
        <v>330</v>
      </c>
      <c r="I549" s="153" t="s">
        <v>966</v>
      </c>
      <c r="J549" s="150" t="s">
        <v>356</v>
      </c>
      <c r="K549" s="174" t="s">
        <v>1109</v>
      </c>
      <c r="L549" s="153" t="s">
        <v>688</v>
      </c>
      <c r="M549" s="225" t="s">
        <v>73</v>
      </c>
      <c r="N549" s="153"/>
      <c r="O549" s="153" t="s">
        <v>387</v>
      </c>
      <c r="P549" s="153" t="s">
        <v>383</v>
      </c>
      <c r="Q549" s="153" t="s">
        <v>412</v>
      </c>
      <c r="R549" s="153" t="s">
        <v>509</v>
      </c>
      <c r="S549" s="153"/>
      <c r="T549" s="153">
        <v>3</v>
      </c>
      <c r="U549" s="153"/>
    </row>
    <row r="550" spans="1:21" ht="20.100000000000001" customHeight="1" x14ac:dyDescent="0.2">
      <c r="A550" s="74">
        <v>60461</v>
      </c>
      <c r="B550" s="179" t="s">
        <v>881</v>
      </c>
      <c r="C550" s="74">
        <v>30024879</v>
      </c>
      <c r="D550" s="74" t="s">
        <v>881</v>
      </c>
      <c r="E550" s="174" t="s">
        <v>997</v>
      </c>
      <c r="F550" s="174" t="s">
        <v>672</v>
      </c>
      <c r="G550" s="153" t="s">
        <v>1045</v>
      </c>
      <c r="H550" s="174" t="s">
        <v>332</v>
      </c>
      <c r="I550" s="174" t="s">
        <v>614</v>
      </c>
      <c r="J550" s="153" t="s">
        <v>109</v>
      </c>
      <c r="K550" s="174" t="s">
        <v>1109</v>
      </c>
      <c r="L550" s="174">
        <v>20063532</v>
      </c>
      <c r="M550" s="226" t="s">
        <v>73</v>
      </c>
      <c r="O550" s="174" t="s">
        <v>613</v>
      </c>
      <c r="P550" s="174" t="s">
        <v>615</v>
      </c>
      <c r="Q550" s="174" t="s">
        <v>406</v>
      </c>
      <c r="R550" s="174" t="s">
        <v>1196</v>
      </c>
      <c r="T550" s="174">
        <v>4</v>
      </c>
    </row>
    <row r="551" spans="1:21" ht="20.100000000000001" customHeight="1" x14ac:dyDescent="0.2">
      <c r="A551" s="74">
        <v>60564</v>
      </c>
      <c r="B551" s="179" t="s">
        <v>881</v>
      </c>
      <c r="C551" s="74">
        <v>30025106</v>
      </c>
      <c r="D551" s="74" t="s">
        <v>881</v>
      </c>
      <c r="E551" s="174" t="s">
        <v>997</v>
      </c>
      <c r="F551" s="174" t="s">
        <v>671</v>
      </c>
      <c r="G551" s="174" t="s">
        <v>1083</v>
      </c>
      <c r="H551" s="174" t="s">
        <v>332</v>
      </c>
      <c r="I551" s="174" t="s">
        <v>614</v>
      </c>
      <c r="J551" s="153" t="s">
        <v>109</v>
      </c>
      <c r="K551" s="174" t="s">
        <v>1109</v>
      </c>
      <c r="L551" s="174">
        <v>20063532</v>
      </c>
      <c r="M551" s="226" t="s">
        <v>73</v>
      </c>
      <c r="O551" s="174" t="s">
        <v>613</v>
      </c>
      <c r="P551" s="174" t="s">
        <v>615</v>
      </c>
      <c r="Q551" s="174" t="s">
        <v>406</v>
      </c>
      <c r="R551" s="174" t="s">
        <v>1196</v>
      </c>
      <c r="T551" s="174">
        <v>4</v>
      </c>
    </row>
    <row r="552" spans="1:21" ht="20.100000000000001" customHeight="1" x14ac:dyDescent="0.2">
      <c r="A552" s="223">
        <v>60427</v>
      </c>
      <c r="B552" s="179" t="s">
        <v>881</v>
      </c>
      <c r="C552" s="223">
        <v>30025233</v>
      </c>
      <c r="D552" s="223" t="s">
        <v>881</v>
      </c>
      <c r="E552" s="153" t="s">
        <v>953</v>
      </c>
      <c r="F552" s="153" t="s">
        <v>671</v>
      </c>
      <c r="G552" s="153" t="s">
        <v>1247</v>
      </c>
      <c r="H552" s="153" t="s">
        <v>1222</v>
      </c>
      <c r="I552" s="153" t="s">
        <v>980</v>
      </c>
      <c r="J552" s="150" t="s">
        <v>981</v>
      </c>
      <c r="K552" s="174" t="s">
        <v>1109</v>
      </c>
      <c r="L552" s="153">
        <v>20063523</v>
      </c>
      <c r="M552" s="226" t="s">
        <v>73</v>
      </c>
      <c r="N552" s="153"/>
      <c r="O552" s="153" t="s">
        <v>729</v>
      </c>
      <c r="P552" s="153" t="s">
        <v>728</v>
      </c>
      <c r="Q552" s="153" t="s">
        <v>489</v>
      </c>
      <c r="R552" s="153" t="s">
        <v>1196</v>
      </c>
      <c r="S552" s="153"/>
      <c r="T552" s="153">
        <v>3</v>
      </c>
      <c r="U552" s="153" t="s">
        <v>1248</v>
      </c>
    </row>
    <row r="553" spans="1:21" ht="20.100000000000001" customHeight="1" x14ac:dyDescent="0.2">
      <c r="A553" s="223">
        <v>60571</v>
      </c>
      <c r="B553" s="179" t="s">
        <v>881</v>
      </c>
      <c r="C553" s="223"/>
      <c r="D553" s="223" t="s">
        <v>881</v>
      </c>
      <c r="E553" s="153" t="s">
        <v>961</v>
      </c>
      <c r="F553" s="153" t="s">
        <v>671</v>
      </c>
      <c r="G553" s="153" t="s">
        <v>987</v>
      </c>
      <c r="H553" s="153" t="s">
        <v>330</v>
      </c>
      <c r="I553" s="174" t="s">
        <v>523</v>
      </c>
      <c r="J553" s="150" t="s">
        <v>543</v>
      </c>
      <c r="K553" s="174" t="s">
        <v>1109</v>
      </c>
      <c r="L553" s="153">
        <v>20063663</v>
      </c>
      <c r="M553" s="226" t="s">
        <v>73</v>
      </c>
      <c r="N553" s="174" t="s">
        <v>1250</v>
      </c>
      <c r="O553" s="153" t="s">
        <v>524</v>
      </c>
      <c r="P553" s="153" t="s">
        <v>419</v>
      </c>
      <c r="Q553" s="153" t="s">
        <v>412</v>
      </c>
      <c r="R553" s="153" t="s">
        <v>509</v>
      </c>
      <c r="S553" s="153"/>
      <c r="T553" s="153">
        <v>3</v>
      </c>
      <c r="U553" s="153" t="s">
        <v>984</v>
      </c>
    </row>
    <row r="554" spans="1:21" ht="20.100000000000001" customHeight="1" x14ac:dyDescent="0.2">
      <c r="A554" s="74">
        <v>60811</v>
      </c>
      <c r="B554" s="179" t="s">
        <v>881</v>
      </c>
      <c r="C554" s="74">
        <v>30025123</v>
      </c>
      <c r="D554" s="74" t="s">
        <v>881</v>
      </c>
      <c r="E554" s="174" t="s">
        <v>953</v>
      </c>
      <c r="F554" s="174" t="s">
        <v>671</v>
      </c>
      <c r="G554" s="153" t="s">
        <v>1054</v>
      </c>
      <c r="H554" s="174" t="s">
        <v>326</v>
      </c>
      <c r="I554" s="174" t="s">
        <v>954</v>
      </c>
      <c r="J554" s="174" t="s">
        <v>1106</v>
      </c>
      <c r="K554" s="174" t="s">
        <v>334</v>
      </c>
      <c r="L554" s="174">
        <v>20064417</v>
      </c>
      <c r="M554" s="185" t="s">
        <v>73</v>
      </c>
      <c r="N554" s="174" t="s">
        <v>881</v>
      </c>
      <c r="O554" s="174" t="s">
        <v>1249</v>
      </c>
      <c r="P554" s="174" t="s">
        <v>1498</v>
      </c>
      <c r="Q554" s="174" t="s">
        <v>412</v>
      </c>
      <c r="R554" s="174" t="s">
        <v>509</v>
      </c>
      <c r="T554" s="174">
        <v>3</v>
      </c>
      <c r="U554" s="153" t="s">
        <v>1037</v>
      </c>
    </row>
    <row r="555" spans="1:21" ht="20.100000000000001" customHeight="1" x14ac:dyDescent="0.2">
      <c r="A555" s="223">
        <v>60684</v>
      </c>
      <c r="B555" s="179" t="s">
        <v>881</v>
      </c>
      <c r="C555" s="223">
        <v>30025111</v>
      </c>
      <c r="D555" s="223" t="s">
        <v>881</v>
      </c>
      <c r="E555" s="174" t="s">
        <v>975</v>
      </c>
      <c r="F555" s="174" t="s">
        <v>978</v>
      </c>
      <c r="G555" s="174" t="s">
        <v>1049</v>
      </c>
      <c r="H555" s="174" t="s">
        <v>329</v>
      </c>
      <c r="I555" s="174" t="s">
        <v>967</v>
      </c>
      <c r="J555" s="174" t="s">
        <v>976</v>
      </c>
      <c r="K555" s="174" t="s">
        <v>334</v>
      </c>
      <c r="L555" s="174">
        <v>20063860</v>
      </c>
      <c r="M555" s="185" t="s">
        <v>73</v>
      </c>
      <c r="N555" s="174" t="s">
        <v>1245</v>
      </c>
      <c r="O555" s="174" t="s">
        <v>516</v>
      </c>
      <c r="P555" s="153" t="s">
        <v>367</v>
      </c>
      <c r="Q555" s="153" t="s">
        <v>507</v>
      </c>
      <c r="R555" s="153" t="s">
        <v>1196</v>
      </c>
      <c r="S555" s="153"/>
      <c r="T555" s="153">
        <v>2</v>
      </c>
      <c r="U555" s="153"/>
    </row>
    <row r="556" spans="1:21" ht="20.100000000000001" customHeight="1" x14ac:dyDescent="0.2">
      <c r="A556" s="223">
        <v>60685</v>
      </c>
      <c r="B556" s="179" t="s">
        <v>881</v>
      </c>
      <c r="C556" s="223">
        <v>30024891</v>
      </c>
      <c r="D556" s="223" t="s">
        <v>881</v>
      </c>
      <c r="E556" s="174" t="s">
        <v>997</v>
      </c>
      <c r="F556" s="174" t="s">
        <v>978</v>
      </c>
      <c r="G556" s="174" t="s">
        <v>1049</v>
      </c>
      <c r="H556" s="174" t="s">
        <v>329</v>
      </c>
      <c r="I556" s="174" t="s">
        <v>967</v>
      </c>
      <c r="J556" s="174" t="s">
        <v>976</v>
      </c>
      <c r="K556" s="174" t="s">
        <v>334</v>
      </c>
      <c r="L556" s="174">
        <v>20063860</v>
      </c>
      <c r="M556" s="185" t="s">
        <v>73</v>
      </c>
      <c r="N556" s="174" t="s">
        <v>1245</v>
      </c>
      <c r="O556" s="174" t="s">
        <v>516</v>
      </c>
      <c r="P556" s="153" t="s">
        <v>367</v>
      </c>
      <c r="Q556" s="153" t="s">
        <v>507</v>
      </c>
      <c r="R556" s="153" t="s">
        <v>1196</v>
      </c>
      <c r="S556" s="153"/>
      <c r="T556" s="153">
        <v>2</v>
      </c>
      <c r="U556" s="153"/>
    </row>
    <row r="557" spans="1:21" ht="20.100000000000001" customHeight="1" x14ac:dyDescent="0.2">
      <c r="A557" s="223">
        <v>60686</v>
      </c>
      <c r="B557" s="179" t="s">
        <v>881</v>
      </c>
      <c r="C557" s="223">
        <v>30025115</v>
      </c>
      <c r="D557" s="223" t="s">
        <v>881</v>
      </c>
      <c r="E557" s="174" t="s">
        <v>997</v>
      </c>
      <c r="F557" s="174" t="s">
        <v>978</v>
      </c>
      <c r="G557" s="174" t="s">
        <v>1056</v>
      </c>
      <c r="H557" s="174" t="s">
        <v>332</v>
      </c>
      <c r="I557" s="174" t="s">
        <v>967</v>
      </c>
      <c r="J557" s="174" t="s">
        <v>976</v>
      </c>
      <c r="K557" s="174" t="s">
        <v>334</v>
      </c>
      <c r="L557" s="174">
        <v>20063860</v>
      </c>
      <c r="M557" s="185" t="s">
        <v>73</v>
      </c>
      <c r="N557" s="174" t="s">
        <v>1245</v>
      </c>
      <c r="O557" s="174" t="s">
        <v>516</v>
      </c>
      <c r="P557" s="153" t="s">
        <v>367</v>
      </c>
      <c r="Q557" s="153" t="s">
        <v>507</v>
      </c>
      <c r="R557" s="153" t="s">
        <v>1196</v>
      </c>
      <c r="S557" s="153"/>
      <c r="T557" s="153">
        <v>2</v>
      </c>
      <c r="U557" s="153"/>
    </row>
    <row r="558" spans="1:21" ht="20.100000000000001" customHeight="1" x14ac:dyDescent="0.2">
      <c r="A558" s="223">
        <v>60687</v>
      </c>
      <c r="B558" s="179" t="s">
        <v>881</v>
      </c>
      <c r="C558" s="223">
        <v>30025116</v>
      </c>
      <c r="D558" s="223" t="s">
        <v>881</v>
      </c>
      <c r="E558" s="174" t="s">
        <v>1251</v>
      </c>
      <c r="F558" s="174" t="s">
        <v>978</v>
      </c>
      <c r="G558" s="174" t="s">
        <v>1049</v>
      </c>
      <c r="H558" s="174" t="s">
        <v>329</v>
      </c>
      <c r="I558" s="174" t="s">
        <v>967</v>
      </c>
      <c r="J558" s="174" t="s">
        <v>976</v>
      </c>
      <c r="K558" s="174" t="s">
        <v>334</v>
      </c>
      <c r="L558" s="174">
        <v>20063860</v>
      </c>
      <c r="M558" s="185" t="s">
        <v>73</v>
      </c>
      <c r="N558" s="174" t="s">
        <v>1245</v>
      </c>
      <c r="O558" s="174" t="s">
        <v>516</v>
      </c>
      <c r="P558" s="153" t="s">
        <v>367</v>
      </c>
      <c r="Q558" s="153" t="s">
        <v>507</v>
      </c>
      <c r="R558" s="153" t="s">
        <v>1196</v>
      </c>
      <c r="S558" s="153"/>
      <c r="T558" s="153">
        <v>2</v>
      </c>
      <c r="U558" s="153"/>
    </row>
    <row r="559" spans="1:21" ht="20.100000000000001" customHeight="1" x14ac:dyDescent="0.2">
      <c r="A559" s="223">
        <v>60688</v>
      </c>
      <c r="B559" s="179" t="s">
        <v>881</v>
      </c>
      <c r="C559" s="223">
        <v>30025113</v>
      </c>
      <c r="D559" s="223" t="s">
        <v>881</v>
      </c>
      <c r="E559" s="174" t="s">
        <v>1244</v>
      </c>
      <c r="F559" s="174" t="s">
        <v>978</v>
      </c>
      <c r="G559" s="174" t="s">
        <v>1049</v>
      </c>
      <c r="H559" s="174" t="s">
        <v>329</v>
      </c>
      <c r="I559" s="174" t="s">
        <v>967</v>
      </c>
      <c r="J559" s="174" t="s">
        <v>976</v>
      </c>
      <c r="K559" s="174" t="s">
        <v>334</v>
      </c>
      <c r="L559" s="174">
        <v>20063860</v>
      </c>
      <c r="M559" s="185" t="s">
        <v>73</v>
      </c>
      <c r="N559" s="174" t="s">
        <v>1245</v>
      </c>
      <c r="O559" s="174" t="s">
        <v>516</v>
      </c>
      <c r="P559" s="153" t="s">
        <v>367</v>
      </c>
      <c r="Q559" s="153" t="s">
        <v>507</v>
      </c>
      <c r="R559" s="153" t="s">
        <v>1196</v>
      </c>
      <c r="S559" s="153"/>
      <c r="T559" s="153">
        <v>2</v>
      </c>
      <c r="U559" s="153"/>
    </row>
    <row r="560" spans="1:21" ht="20.100000000000001" customHeight="1" x14ac:dyDescent="0.2">
      <c r="A560" s="223">
        <v>60689</v>
      </c>
      <c r="B560" s="179" t="s">
        <v>881</v>
      </c>
      <c r="C560" s="223">
        <v>30025112</v>
      </c>
      <c r="D560" s="223" t="s">
        <v>881</v>
      </c>
      <c r="E560" s="174" t="s">
        <v>975</v>
      </c>
      <c r="F560" s="174" t="s">
        <v>978</v>
      </c>
      <c r="G560" s="174" t="s">
        <v>1056</v>
      </c>
      <c r="H560" s="174" t="s">
        <v>332</v>
      </c>
      <c r="I560" s="174" t="s">
        <v>967</v>
      </c>
      <c r="J560" s="174" t="s">
        <v>976</v>
      </c>
      <c r="K560" s="174" t="s">
        <v>334</v>
      </c>
      <c r="L560" s="174">
        <v>20063860</v>
      </c>
      <c r="M560" s="185" t="s">
        <v>73</v>
      </c>
      <c r="N560" s="174" t="s">
        <v>1245</v>
      </c>
      <c r="O560" s="174" t="s">
        <v>516</v>
      </c>
      <c r="P560" s="153" t="s">
        <v>367</v>
      </c>
      <c r="Q560" s="153" t="s">
        <v>507</v>
      </c>
      <c r="R560" s="153" t="s">
        <v>1196</v>
      </c>
      <c r="S560" s="153"/>
      <c r="T560" s="153">
        <v>2</v>
      </c>
      <c r="U560" s="153"/>
    </row>
    <row r="561" spans="1:21" ht="20.100000000000001" customHeight="1" x14ac:dyDescent="0.2">
      <c r="A561" s="223">
        <v>60690</v>
      </c>
      <c r="B561" s="179" t="s">
        <v>881</v>
      </c>
      <c r="C561" s="223">
        <v>30024892</v>
      </c>
      <c r="D561" s="223" t="s">
        <v>881</v>
      </c>
      <c r="E561" s="174" t="s">
        <v>1251</v>
      </c>
      <c r="F561" s="174" t="s">
        <v>978</v>
      </c>
      <c r="G561" s="174" t="s">
        <v>1056</v>
      </c>
      <c r="H561" s="174" t="s">
        <v>332</v>
      </c>
      <c r="I561" s="174" t="s">
        <v>967</v>
      </c>
      <c r="J561" s="174" t="s">
        <v>976</v>
      </c>
      <c r="K561" s="174" t="s">
        <v>334</v>
      </c>
      <c r="L561" s="174">
        <v>20063860</v>
      </c>
      <c r="M561" s="185" t="s">
        <v>73</v>
      </c>
      <c r="N561" s="174" t="s">
        <v>1245</v>
      </c>
      <c r="O561" s="174" t="s">
        <v>516</v>
      </c>
      <c r="P561" s="153" t="s">
        <v>367</v>
      </c>
      <c r="Q561" s="153" t="s">
        <v>507</v>
      </c>
      <c r="R561" s="153" t="s">
        <v>1196</v>
      </c>
      <c r="S561" s="153"/>
      <c r="T561" s="153">
        <v>2</v>
      </c>
      <c r="U561" s="153"/>
    </row>
    <row r="562" spans="1:21" ht="20.100000000000001" customHeight="1" x14ac:dyDescent="0.2">
      <c r="A562" s="223">
        <v>60692</v>
      </c>
      <c r="B562" s="179" t="s">
        <v>881</v>
      </c>
      <c r="C562" s="223">
        <v>30025114</v>
      </c>
      <c r="D562" s="223" t="s">
        <v>881</v>
      </c>
      <c r="E562" s="174" t="s">
        <v>997</v>
      </c>
      <c r="F562" s="174" t="s">
        <v>978</v>
      </c>
      <c r="G562" s="174" t="s">
        <v>1083</v>
      </c>
      <c r="H562" s="174" t="s">
        <v>332</v>
      </c>
      <c r="I562" s="174" t="s">
        <v>967</v>
      </c>
      <c r="J562" s="174" t="s">
        <v>976</v>
      </c>
      <c r="K562" s="174" t="s">
        <v>334</v>
      </c>
      <c r="L562" s="174">
        <v>20063860</v>
      </c>
      <c r="M562" s="185" t="s">
        <v>73</v>
      </c>
      <c r="N562" s="174" t="s">
        <v>1245</v>
      </c>
      <c r="O562" s="174" t="s">
        <v>516</v>
      </c>
      <c r="P562" s="153" t="s">
        <v>367</v>
      </c>
      <c r="Q562" s="153" t="s">
        <v>507</v>
      </c>
      <c r="R562" s="153" t="s">
        <v>1196</v>
      </c>
      <c r="S562" s="153"/>
      <c r="T562" s="153">
        <v>2</v>
      </c>
      <c r="U562" s="153"/>
    </row>
    <row r="563" spans="1:21" ht="20.100000000000001" customHeight="1" x14ac:dyDescent="0.2">
      <c r="A563" s="223">
        <v>60603</v>
      </c>
      <c r="B563" s="179" t="s">
        <v>881</v>
      </c>
      <c r="C563" s="223">
        <v>30025240</v>
      </c>
      <c r="D563" s="223" t="s">
        <v>881</v>
      </c>
      <c r="E563" s="153" t="s">
        <v>953</v>
      </c>
      <c r="F563" s="153" t="s">
        <v>671</v>
      </c>
      <c r="G563" s="153" t="s">
        <v>1054</v>
      </c>
      <c r="H563" s="153" t="s">
        <v>326</v>
      </c>
      <c r="I563" s="153" t="s">
        <v>962</v>
      </c>
      <c r="J563" s="150" t="s">
        <v>963</v>
      </c>
      <c r="K563" s="174" t="s">
        <v>1109</v>
      </c>
      <c r="L563" s="153">
        <v>20063593</v>
      </c>
      <c r="M563" s="226" t="s">
        <v>73</v>
      </c>
      <c r="N563" s="153"/>
      <c r="O563" s="153" t="s">
        <v>1252</v>
      </c>
      <c r="P563" s="153" t="s">
        <v>1254</v>
      </c>
      <c r="Q563" s="153" t="s">
        <v>489</v>
      </c>
      <c r="R563" s="153" t="s">
        <v>1196</v>
      </c>
      <c r="S563" s="153"/>
      <c r="T563" s="153">
        <v>3</v>
      </c>
      <c r="U563" s="153" t="s">
        <v>1248</v>
      </c>
    </row>
    <row r="564" spans="1:21" ht="20.100000000000001" customHeight="1" x14ac:dyDescent="0.2">
      <c r="A564" s="223">
        <v>60602</v>
      </c>
      <c r="B564" s="179" t="s">
        <v>881</v>
      </c>
      <c r="C564" s="223">
        <v>30025238</v>
      </c>
      <c r="D564" s="223" t="s">
        <v>881</v>
      </c>
      <c r="E564" s="153" t="s">
        <v>953</v>
      </c>
      <c r="F564" s="153" t="s">
        <v>671</v>
      </c>
      <c r="G564" s="153" t="s">
        <v>1054</v>
      </c>
      <c r="H564" s="153" t="s">
        <v>326</v>
      </c>
      <c r="I564" s="153" t="s">
        <v>962</v>
      </c>
      <c r="J564" s="150" t="s">
        <v>963</v>
      </c>
      <c r="K564" s="174" t="s">
        <v>1109</v>
      </c>
      <c r="L564" s="153">
        <v>20063593</v>
      </c>
      <c r="M564" s="226" t="s">
        <v>73</v>
      </c>
      <c r="N564" s="153"/>
      <c r="O564" s="153" t="s">
        <v>1253</v>
      </c>
      <c r="P564" s="153" t="s">
        <v>1254</v>
      </c>
      <c r="Q564" s="153" t="s">
        <v>489</v>
      </c>
      <c r="R564" s="153" t="s">
        <v>1196</v>
      </c>
      <c r="S564" s="153"/>
      <c r="T564" s="153">
        <v>3</v>
      </c>
      <c r="U564" s="153" t="s">
        <v>983</v>
      </c>
    </row>
    <row r="565" spans="1:21" ht="20.100000000000001" customHeight="1" x14ac:dyDescent="0.2">
      <c r="A565" s="223">
        <v>60751</v>
      </c>
      <c r="B565" s="179" t="s">
        <v>881</v>
      </c>
      <c r="C565" s="223">
        <v>30025121</v>
      </c>
      <c r="D565" s="223" t="s">
        <v>881</v>
      </c>
      <c r="E565" s="153" t="s">
        <v>953</v>
      </c>
      <c r="F565" s="153" t="s">
        <v>671</v>
      </c>
      <c r="G565" s="153" t="s">
        <v>987</v>
      </c>
      <c r="H565" s="153" t="s">
        <v>326</v>
      </c>
      <c r="I565" s="153" t="s">
        <v>1230</v>
      </c>
      <c r="J565" s="150" t="s">
        <v>1231</v>
      </c>
      <c r="K565" s="174" t="s">
        <v>1109</v>
      </c>
      <c r="L565" s="153">
        <v>20064226</v>
      </c>
      <c r="M565" s="226" t="s">
        <v>73</v>
      </c>
      <c r="N565" s="153"/>
      <c r="O565" s="153" t="s">
        <v>1253</v>
      </c>
      <c r="P565" s="153" t="s">
        <v>1254</v>
      </c>
      <c r="Q565" s="153" t="s">
        <v>489</v>
      </c>
      <c r="R565" s="153" t="s">
        <v>1196</v>
      </c>
      <c r="S565" s="153"/>
      <c r="T565" s="153">
        <v>3</v>
      </c>
      <c r="U565" s="153" t="s">
        <v>983</v>
      </c>
    </row>
    <row r="566" spans="1:21" ht="20.100000000000001" customHeight="1" x14ac:dyDescent="0.2">
      <c r="A566" s="223">
        <v>60601</v>
      </c>
      <c r="B566" s="179" t="s">
        <v>881</v>
      </c>
      <c r="C566" s="223">
        <v>30025239</v>
      </c>
      <c r="D566" s="223" t="s">
        <v>881</v>
      </c>
      <c r="E566" s="153" t="s">
        <v>953</v>
      </c>
      <c r="F566" s="153" t="s">
        <v>671</v>
      </c>
      <c r="G566" s="153" t="s">
        <v>987</v>
      </c>
      <c r="H566" s="153" t="s">
        <v>326</v>
      </c>
      <c r="I566" s="153" t="s">
        <v>962</v>
      </c>
      <c r="J566" s="150" t="s">
        <v>963</v>
      </c>
      <c r="K566" s="174" t="s">
        <v>1109</v>
      </c>
      <c r="L566" s="153">
        <v>20063593</v>
      </c>
      <c r="M566" s="226" t="s">
        <v>73</v>
      </c>
      <c r="N566" s="153"/>
      <c r="O566" s="153" t="s">
        <v>1253</v>
      </c>
      <c r="P566" s="153" t="s">
        <v>1254</v>
      </c>
      <c r="Q566" s="153" t="s">
        <v>489</v>
      </c>
      <c r="R566" s="153" t="s">
        <v>1196</v>
      </c>
      <c r="S566" s="153"/>
      <c r="T566" s="153">
        <v>3</v>
      </c>
      <c r="U566" s="153" t="s">
        <v>983</v>
      </c>
    </row>
    <row r="567" spans="1:21" ht="20.100000000000001" customHeight="1" x14ac:dyDescent="0.2">
      <c r="A567" s="74">
        <v>99994</v>
      </c>
      <c r="B567" s="179" t="s">
        <v>881</v>
      </c>
      <c r="C567" s="74">
        <v>30025082</v>
      </c>
      <c r="D567" s="74" t="s">
        <v>881</v>
      </c>
      <c r="E567" s="174" t="s">
        <v>871</v>
      </c>
      <c r="F567" s="153" t="s">
        <v>671</v>
      </c>
      <c r="G567" s="174" t="s">
        <v>987</v>
      </c>
      <c r="H567" s="174" t="s">
        <v>330</v>
      </c>
      <c r="I567" s="174" t="s">
        <v>536</v>
      </c>
      <c r="J567" s="174" t="s">
        <v>1256</v>
      </c>
      <c r="K567" s="174" t="s">
        <v>334</v>
      </c>
      <c r="L567" s="174" t="s">
        <v>1236</v>
      </c>
      <c r="M567" s="185" t="s">
        <v>73</v>
      </c>
      <c r="N567" s="174" t="s">
        <v>538</v>
      </c>
      <c r="O567" s="174" t="s">
        <v>539</v>
      </c>
      <c r="P567" s="174" t="s">
        <v>733</v>
      </c>
      <c r="Q567" s="174" t="s">
        <v>489</v>
      </c>
      <c r="R567" s="174" t="s">
        <v>1196</v>
      </c>
      <c r="S567" s="174" t="s">
        <v>881</v>
      </c>
      <c r="T567" s="174">
        <v>3</v>
      </c>
      <c r="U567" s="174" t="s">
        <v>1257</v>
      </c>
    </row>
    <row r="568" spans="1:21" ht="20.100000000000001" customHeight="1" x14ac:dyDescent="0.2">
      <c r="A568" s="74">
        <v>60934</v>
      </c>
      <c r="B568" s="179" t="s">
        <v>881</v>
      </c>
      <c r="C568" s="74">
        <v>30025247</v>
      </c>
      <c r="D568" s="74" t="s">
        <v>881</v>
      </c>
      <c r="E568" s="174" t="s">
        <v>953</v>
      </c>
      <c r="F568" s="174" t="s">
        <v>671</v>
      </c>
      <c r="G568" s="153" t="s">
        <v>1221</v>
      </c>
      <c r="H568" s="174" t="s">
        <v>330</v>
      </c>
      <c r="I568" s="174" t="s">
        <v>1104</v>
      </c>
      <c r="J568" s="174" t="s">
        <v>1105</v>
      </c>
      <c r="K568" s="174" t="s">
        <v>334</v>
      </c>
      <c r="L568" s="174">
        <v>20064417</v>
      </c>
      <c r="M568" s="185" t="s">
        <v>73</v>
      </c>
      <c r="N568" s="174" t="s">
        <v>881</v>
      </c>
      <c r="O568" s="174" t="s">
        <v>1249</v>
      </c>
      <c r="P568" s="174" t="s">
        <v>1498</v>
      </c>
      <c r="Q568" s="174" t="s">
        <v>412</v>
      </c>
      <c r="R568" s="174" t="s">
        <v>509</v>
      </c>
      <c r="T568" s="174">
        <v>3</v>
      </c>
      <c r="U568" s="153" t="s">
        <v>1037</v>
      </c>
    </row>
    <row r="569" spans="1:21" ht="20.100000000000001" customHeight="1" x14ac:dyDescent="0.2">
      <c r="A569" s="214">
        <v>60568</v>
      </c>
      <c r="B569" s="179" t="s">
        <v>881</v>
      </c>
      <c r="C569" s="214">
        <v>3002863</v>
      </c>
      <c r="D569" s="74" t="s">
        <v>881</v>
      </c>
      <c r="E569" s="174" t="s">
        <v>617</v>
      </c>
      <c r="F569" s="174" t="s">
        <v>941</v>
      </c>
      <c r="G569" s="174" t="s">
        <v>1058</v>
      </c>
      <c r="H569" s="174" t="s">
        <v>329</v>
      </c>
      <c r="I569" s="174" t="s">
        <v>967</v>
      </c>
      <c r="J569" s="174" t="s">
        <v>246</v>
      </c>
      <c r="K569" s="174" t="s">
        <v>334</v>
      </c>
      <c r="L569" s="184">
        <v>20063877</v>
      </c>
      <c r="M569" s="185" t="s">
        <v>73</v>
      </c>
      <c r="N569" s="174" t="s">
        <v>881</v>
      </c>
      <c r="O569" s="174" t="s">
        <v>362</v>
      </c>
      <c r="P569" s="184" t="s">
        <v>1507</v>
      </c>
      <c r="Q569" s="174" t="s">
        <v>384</v>
      </c>
      <c r="R569" s="174" t="s">
        <v>1196</v>
      </c>
      <c r="S569" s="184"/>
      <c r="T569" s="184">
        <v>2</v>
      </c>
      <c r="U569" s="184"/>
    </row>
    <row r="570" spans="1:21" ht="20.100000000000001" customHeight="1" x14ac:dyDescent="0.2">
      <c r="A570" s="223">
        <v>60615</v>
      </c>
      <c r="B570" s="179" t="s">
        <v>881</v>
      </c>
      <c r="C570" s="223">
        <v>30025108</v>
      </c>
      <c r="D570" s="223" t="s">
        <v>881</v>
      </c>
      <c r="E570" s="153" t="s">
        <v>953</v>
      </c>
      <c r="F570" s="153" t="s">
        <v>671</v>
      </c>
      <c r="G570" s="174" t="s">
        <v>1045</v>
      </c>
      <c r="H570" s="153" t="s">
        <v>330</v>
      </c>
      <c r="I570" s="153" t="s">
        <v>342</v>
      </c>
      <c r="J570" s="149" t="s">
        <v>1029</v>
      </c>
      <c r="K570" s="174" t="s">
        <v>334</v>
      </c>
      <c r="L570" s="174">
        <v>20063241</v>
      </c>
      <c r="M570" s="225" t="s">
        <v>73</v>
      </c>
      <c r="N570" s="153" t="s">
        <v>881</v>
      </c>
      <c r="O570" s="153" t="s">
        <v>460</v>
      </c>
      <c r="P570" s="153" t="s">
        <v>461</v>
      </c>
      <c r="Q570" s="153" t="s">
        <v>412</v>
      </c>
      <c r="R570" s="153" t="s">
        <v>509</v>
      </c>
      <c r="S570" s="153"/>
      <c r="T570" s="153">
        <v>3</v>
      </c>
      <c r="U570" s="153" t="s">
        <v>996</v>
      </c>
    </row>
    <row r="571" spans="1:21" ht="20.100000000000001" customHeight="1" x14ac:dyDescent="0.2">
      <c r="A571" s="214">
        <v>60933</v>
      </c>
      <c r="B571" s="179" t="s">
        <v>881</v>
      </c>
      <c r="C571" s="214">
        <v>30025246</v>
      </c>
      <c r="D571" s="74" t="s">
        <v>881</v>
      </c>
      <c r="E571" s="174" t="s">
        <v>953</v>
      </c>
      <c r="F571" s="74" t="s">
        <v>671</v>
      </c>
      <c r="G571" s="174" t="s">
        <v>987</v>
      </c>
      <c r="H571" s="174" t="s">
        <v>330</v>
      </c>
      <c r="I571" s="174" t="s">
        <v>966</v>
      </c>
      <c r="J571" s="174" t="s">
        <v>356</v>
      </c>
      <c r="K571" s="174" t="s">
        <v>334</v>
      </c>
      <c r="L571" s="184">
        <v>20064840</v>
      </c>
      <c r="M571" s="185" t="s">
        <v>73</v>
      </c>
      <c r="N571" s="174" t="s">
        <v>965</v>
      </c>
      <c r="O571" s="174" t="s">
        <v>550</v>
      </c>
      <c r="P571" s="174" t="s">
        <v>551</v>
      </c>
      <c r="Q571" s="174" t="s">
        <v>412</v>
      </c>
      <c r="R571" s="174" t="s">
        <v>509</v>
      </c>
      <c r="S571" s="184"/>
      <c r="T571" s="184">
        <v>3</v>
      </c>
      <c r="U571" s="174" t="s">
        <v>996</v>
      </c>
    </row>
    <row r="572" spans="1:21" ht="20.100000000000001" customHeight="1" x14ac:dyDescent="0.2">
      <c r="A572" s="223">
        <v>61950</v>
      </c>
      <c r="B572" s="179" t="s">
        <v>881</v>
      </c>
      <c r="C572" s="223">
        <v>30025249</v>
      </c>
      <c r="D572" s="223" t="s">
        <v>881</v>
      </c>
      <c r="E572" s="153" t="s">
        <v>949</v>
      </c>
      <c r="F572" s="153" t="s">
        <v>671</v>
      </c>
      <c r="G572" s="153" t="s">
        <v>1056</v>
      </c>
      <c r="H572" s="153" t="s">
        <v>332</v>
      </c>
      <c r="I572" s="174" t="s">
        <v>967</v>
      </c>
      <c r="J572" s="174" t="s">
        <v>246</v>
      </c>
      <c r="K572" s="174" t="s">
        <v>334</v>
      </c>
      <c r="L572" s="153">
        <v>20065131</v>
      </c>
      <c r="M572" s="185" t="s">
        <v>73</v>
      </c>
      <c r="N572" s="153" t="s">
        <v>1295</v>
      </c>
      <c r="O572" s="153" t="s">
        <v>1258</v>
      </c>
      <c r="P572" s="174" t="s">
        <v>1285</v>
      </c>
      <c r="Q572" s="174" t="s">
        <v>507</v>
      </c>
      <c r="R572" s="174" t="s">
        <v>1261</v>
      </c>
      <c r="S572" s="153"/>
      <c r="T572" s="153" t="s">
        <v>1259</v>
      </c>
      <c r="U572" s="153"/>
    </row>
    <row r="573" spans="1:21" ht="20.100000000000001" customHeight="1" x14ac:dyDescent="0.2">
      <c r="A573" s="74">
        <v>60740</v>
      </c>
      <c r="B573" s="179" t="s">
        <v>881</v>
      </c>
      <c r="C573" s="223">
        <v>30025117</v>
      </c>
      <c r="D573" s="74" t="s">
        <v>881</v>
      </c>
      <c r="E573" s="174" t="s">
        <v>975</v>
      </c>
      <c r="F573" s="153" t="s">
        <v>671</v>
      </c>
      <c r="G573" s="153" t="s">
        <v>1056</v>
      </c>
      <c r="H573" s="153" t="s">
        <v>332</v>
      </c>
      <c r="I573" s="174" t="s">
        <v>541</v>
      </c>
      <c r="J573" s="149" t="s">
        <v>648</v>
      </c>
      <c r="K573" s="174" t="s">
        <v>334</v>
      </c>
      <c r="L573" s="153">
        <v>20064220</v>
      </c>
      <c r="M573" s="185" t="s">
        <v>73</v>
      </c>
      <c r="N573" s="153"/>
      <c r="O573" s="174" t="s">
        <v>411</v>
      </c>
      <c r="P573" s="174" t="s">
        <v>1260</v>
      </c>
      <c r="Q573" s="174" t="s">
        <v>406</v>
      </c>
      <c r="R573" s="174" t="s">
        <v>1196</v>
      </c>
      <c r="S573" s="153"/>
      <c r="T573" s="153">
        <v>4</v>
      </c>
      <c r="U573" s="153"/>
    </row>
    <row r="574" spans="1:21" ht="20.100000000000001" customHeight="1" x14ac:dyDescent="0.2">
      <c r="A574" s="223">
        <v>60939</v>
      </c>
      <c r="B574" s="179" t="s">
        <v>881</v>
      </c>
      <c r="C574" s="223">
        <v>30025127</v>
      </c>
      <c r="D574" s="74" t="s">
        <v>881</v>
      </c>
      <c r="E574" s="174" t="s">
        <v>949</v>
      </c>
      <c r="F574" s="174" t="s">
        <v>687</v>
      </c>
      <c r="G574" s="174" t="s">
        <v>1262</v>
      </c>
      <c r="H574" s="174" t="s">
        <v>330</v>
      </c>
      <c r="I574" s="174" t="s">
        <v>605</v>
      </c>
      <c r="J574" s="150"/>
      <c r="K574" s="174" t="s">
        <v>334</v>
      </c>
      <c r="L574" s="153">
        <v>20064834</v>
      </c>
      <c r="M574" s="185" t="s">
        <v>73</v>
      </c>
      <c r="N574" s="174" t="s">
        <v>544</v>
      </c>
      <c r="O574" s="174" t="s">
        <v>501</v>
      </c>
      <c r="P574" s="174" t="s">
        <v>385</v>
      </c>
      <c r="Q574" s="174" t="s">
        <v>412</v>
      </c>
      <c r="R574" s="174" t="s">
        <v>1196</v>
      </c>
      <c r="S574" s="153"/>
      <c r="T574" s="153">
        <v>3</v>
      </c>
      <c r="U574" s="153"/>
    </row>
    <row r="575" spans="1:21" ht="20.100000000000001" customHeight="1" x14ac:dyDescent="0.2">
      <c r="A575" s="223">
        <v>60797</v>
      </c>
      <c r="B575" s="179" t="s">
        <v>881</v>
      </c>
      <c r="C575" s="223">
        <v>30025241</v>
      </c>
      <c r="D575" s="223" t="s">
        <v>881</v>
      </c>
      <c r="E575" s="174" t="s">
        <v>975</v>
      </c>
      <c r="F575" s="174" t="s">
        <v>1090</v>
      </c>
      <c r="G575" s="174" t="s">
        <v>1056</v>
      </c>
      <c r="H575" s="174" t="s">
        <v>332</v>
      </c>
      <c r="I575" s="174" t="s">
        <v>967</v>
      </c>
      <c r="J575" s="174" t="s">
        <v>976</v>
      </c>
      <c r="K575" s="174" t="s">
        <v>334</v>
      </c>
      <c r="L575" s="174">
        <v>20063957</v>
      </c>
      <c r="M575" s="185" t="s">
        <v>73</v>
      </c>
      <c r="N575" s="174" t="s">
        <v>1245</v>
      </c>
      <c r="O575" s="174" t="s">
        <v>979</v>
      </c>
      <c r="P575" s="153" t="s">
        <v>367</v>
      </c>
      <c r="Q575" s="153" t="s">
        <v>507</v>
      </c>
      <c r="R575" s="153" t="s">
        <v>1196</v>
      </c>
      <c r="S575" s="153"/>
      <c r="T575" s="153">
        <v>2</v>
      </c>
      <c r="U575" s="153"/>
    </row>
    <row r="576" spans="1:21" ht="20.100000000000001" customHeight="1" x14ac:dyDescent="0.2">
      <c r="A576" s="74">
        <v>60243</v>
      </c>
      <c r="B576" s="179" t="s">
        <v>881</v>
      </c>
      <c r="C576" s="74">
        <v>30025232</v>
      </c>
      <c r="D576" s="74" t="s">
        <v>881</v>
      </c>
      <c r="E576" s="174" t="s">
        <v>975</v>
      </c>
      <c r="F576" s="153" t="s">
        <v>671</v>
      </c>
      <c r="G576" s="174" t="s">
        <v>1054</v>
      </c>
      <c r="H576" s="174" t="s">
        <v>326</v>
      </c>
      <c r="I576" s="174" t="s">
        <v>536</v>
      </c>
      <c r="J576" s="174" t="s">
        <v>992</v>
      </c>
      <c r="K576" s="174" t="s">
        <v>334</v>
      </c>
      <c r="L576" s="174">
        <v>20062423</v>
      </c>
      <c r="M576" s="185" t="s">
        <v>73</v>
      </c>
      <c r="O576" s="174" t="s">
        <v>626</v>
      </c>
      <c r="P576" s="174" t="s">
        <v>735</v>
      </c>
      <c r="Q576" s="174" t="s">
        <v>489</v>
      </c>
      <c r="R576" s="174" t="s">
        <v>1196</v>
      </c>
      <c r="T576" s="174">
        <v>3</v>
      </c>
      <c r="U576" s="174" t="s">
        <v>1040</v>
      </c>
    </row>
    <row r="577" spans="1:21" ht="20.100000000000001" customHeight="1" x14ac:dyDescent="0.2">
      <c r="A577" s="223">
        <v>61900</v>
      </c>
      <c r="B577" s="179" t="s">
        <v>881</v>
      </c>
      <c r="C577" s="223" t="s">
        <v>1287</v>
      </c>
      <c r="D577" s="223" t="s">
        <v>881</v>
      </c>
      <c r="E577" s="174" t="s">
        <v>1288</v>
      </c>
      <c r="F577" s="153" t="s">
        <v>1090</v>
      </c>
      <c r="G577" s="153" t="s">
        <v>1056</v>
      </c>
      <c r="H577" s="153" t="s">
        <v>332</v>
      </c>
      <c r="I577" s="174" t="s">
        <v>967</v>
      </c>
      <c r="J577" s="174" t="s">
        <v>976</v>
      </c>
      <c r="K577" s="174" t="s">
        <v>334</v>
      </c>
      <c r="L577" s="174">
        <v>20065185</v>
      </c>
      <c r="M577" s="185" t="s">
        <v>73</v>
      </c>
      <c r="N577" s="174" t="s">
        <v>1101</v>
      </c>
      <c r="O577" s="153" t="s">
        <v>502</v>
      </c>
      <c r="P577" s="153" t="s">
        <v>367</v>
      </c>
      <c r="Q577" s="153" t="s">
        <v>507</v>
      </c>
      <c r="R577" s="153" t="s">
        <v>1196</v>
      </c>
      <c r="S577" s="153"/>
      <c r="T577" s="153">
        <v>2</v>
      </c>
      <c r="U577" s="153"/>
    </row>
    <row r="578" spans="1:21" ht="20.100000000000001" customHeight="1" x14ac:dyDescent="0.2">
      <c r="A578" s="74">
        <v>60754</v>
      </c>
      <c r="B578" s="179" t="s">
        <v>881</v>
      </c>
      <c r="C578" s="74">
        <v>30024893</v>
      </c>
      <c r="D578" s="74" t="s">
        <v>881</v>
      </c>
      <c r="E578" s="174" t="s">
        <v>949</v>
      </c>
      <c r="F578" s="153" t="s">
        <v>671</v>
      </c>
      <c r="G578" s="174" t="s">
        <v>1056</v>
      </c>
      <c r="H578" s="174" t="s">
        <v>332</v>
      </c>
      <c r="I578" s="174" t="s">
        <v>1263</v>
      </c>
      <c r="J578" s="174" t="s">
        <v>656</v>
      </c>
      <c r="K578" s="174" t="s">
        <v>334</v>
      </c>
      <c r="L578" s="174">
        <v>20065640</v>
      </c>
      <c r="M578" s="185" t="s">
        <v>73</v>
      </c>
      <c r="N578" s="174" t="s">
        <v>542</v>
      </c>
      <c r="O578" s="174" t="s">
        <v>411</v>
      </c>
      <c r="P578" s="174" t="s">
        <v>1260</v>
      </c>
      <c r="Q578" s="174" t="s">
        <v>406</v>
      </c>
      <c r="R578" s="174" t="s">
        <v>1196</v>
      </c>
      <c r="T578" s="174">
        <v>4</v>
      </c>
    </row>
    <row r="579" spans="1:21" ht="20.100000000000001" customHeight="1" x14ac:dyDescent="0.2">
      <c r="A579" s="74">
        <v>60122</v>
      </c>
      <c r="B579" s="179" t="s">
        <v>881</v>
      </c>
      <c r="C579" s="74">
        <v>30025086</v>
      </c>
      <c r="D579" s="74" t="s">
        <v>881</v>
      </c>
      <c r="E579" s="174" t="s">
        <v>975</v>
      </c>
      <c r="F579" s="153" t="s">
        <v>671</v>
      </c>
      <c r="G579" s="174" t="s">
        <v>1054</v>
      </c>
      <c r="H579" s="174" t="s">
        <v>330</v>
      </c>
      <c r="I579" s="174" t="s">
        <v>536</v>
      </c>
      <c r="J579" s="174" t="s">
        <v>992</v>
      </c>
      <c r="K579" s="174" t="s">
        <v>334</v>
      </c>
      <c r="L579" s="174">
        <v>20062423</v>
      </c>
      <c r="M579" s="185" t="s">
        <v>73</v>
      </c>
      <c r="O579" s="174" t="s">
        <v>626</v>
      </c>
      <c r="P579" s="174" t="s">
        <v>735</v>
      </c>
      <c r="Q579" s="174" t="s">
        <v>489</v>
      </c>
      <c r="R579" s="174" t="s">
        <v>1196</v>
      </c>
      <c r="T579" s="174">
        <v>3</v>
      </c>
      <c r="U579" s="174" t="s">
        <v>1040</v>
      </c>
    </row>
    <row r="580" spans="1:21" ht="20.100000000000001" customHeight="1" x14ac:dyDescent="0.2">
      <c r="A580" s="74">
        <v>60058</v>
      </c>
      <c r="B580" s="179" t="s">
        <v>881</v>
      </c>
      <c r="C580" s="74">
        <v>30025231</v>
      </c>
      <c r="D580" s="74" t="s">
        <v>881</v>
      </c>
      <c r="E580" s="174" t="s">
        <v>953</v>
      </c>
      <c r="F580" s="174" t="s">
        <v>671</v>
      </c>
      <c r="G580" s="174" t="s">
        <v>1374</v>
      </c>
      <c r="H580" s="174" t="s">
        <v>330</v>
      </c>
      <c r="I580" s="174" t="s">
        <v>536</v>
      </c>
      <c r="J580" s="174" t="s">
        <v>992</v>
      </c>
      <c r="K580" s="174" t="s">
        <v>334</v>
      </c>
      <c r="L580" s="174">
        <v>20062401</v>
      </c>
      <c r="M580" s="185" t="s">
        <v>73</v>
      </c>
      <c r="N580" s="174" t="s">
        <v>1267</v>
      </c>
      <c r="O580" s="174" t="s">
        <v>488</v>
      </c>
      <c r="P580" s="174" t="s">
        <v>1426</v>
      </c>
      <c r="Q580" s="174" t="s">
        <v>489</v>
      </c>
      <c r="R580" s="174" t="s">
        <v>1196</v>
      </c>
      <c r="T580" s="174">
        <v>3</v>
      </c>
      <c r="U580" s="174" t="s">
        <v>1266</v>
      </c>
    </row>
    <row r="581" spans="1:21" ht="20.100000000000001" customHeight="1" x14ac:dyDescent="0.2">
      <c r="A581" s="223">
        <v>60417</v>
      </c>
      <c r="B581" s="179" t="s">
        <v>881</v>
      </c>
      <c r="C581" s="223">
        <v>30024878</v>
      </c>
      <c r="D581" s="223" t="s">
        <v>881</v>
      </c>
      <c r="E581" s="153" t="s">
        <v>949</v>
      </c>
      <c r="F581" s="153" t="s">
        <v>671</v>
      </c>
      <c r="G581" s="174" t="s">
        <v>1045</v>
      </c>
      <c r="H581" s="153" t="s">
        <v>332</v>
      </c>
      <c r="I581" s="174" t="s">
        <v>966</v>
      </c>
      <c r="J581" s="174" t="s">
        <v>356</v>
      </c>
      <c r="K581" s="153" t="s">
        <v>334</v>
      </c>
      <c r="L581" s="153">
        <v>20063442</v>
      </c>
      <c r="M581" s="225" t="s">
        <v>73</v>
      </c>
      <c r="N581" s="153"/>
      <c r="O581" s="153" t="s">
        <v>387</v>
      </c>
      <c r="P581" s="153" t="s">
        <v>383</v>
      </c>
      <c r="Q581" s="153" t="s">
        <v>412</v>
      </c>
      <c r="R581" s="153" t="s">
        <v>509</v>
      </c>
      <c r="S581" s="153"/>
      <c r="T581" s="153">
        <v>3</v>
      </c>
      <c r="U581" s="153"/>
    </row>
    <row r="582" spans="1:21" ht="20.100000000000001" customHeight="1" x14ac:dyDescent="0.2">
      <c r="A582" s="74">
        <v>99352</v>
      </c>
      <c r="B582" s="179" t="s">
        <v>881</v>
      </c>
      <c r="C582" s="74">
        <v>30025068</v>
      </c>
      <c r="D582" s="74" t="s">
        <v>881</v>
      </c>
      <c r="E582" s="174" t="s">
        <v>949</v>
      </c>
      <c r="F582" s="174" t="s">
        <v>671</v>
      </c>
      <c r="G582" s="174" t="s">
        <v>1056</v>
      </c>
      <c r="H582" s="174" t="s">
        <v>329</v>
      </c>
      <c r="I582" s="174" t="s">
        <v>348</v>
      </c>
      <c r="J582" s="174" t="s">
        <v>349</v>
      </c>
      <c r="K582" s="153" t="s">
        <v>334</v>
      </c>
      <c r="L582" s="174">
        <v>20060376</v>
      </c>
      <c r="M582" s="225" t="s">
        <v>73</v>
      </c>
      <c r="N582" s="174" t="s">
        <v>1268</v>
      </c>
      <c r="O582" s="174" t="s">
        <v>398</v>
      </c>
      <c r="P582" s="174" t="s">
        <v>399</v>
      </c>
      <c r="Q582" s="174" t="s">
        <v>207</v>
      </c>
      <c r="R582" s="174" t="s">
        <v>1196</v>
      </c>
      <c r="T582" s="174" t="s">
        <v>1269</v>
      </c>
    </row>
    <row r="583" spans="1:21" ht="20.100000000000001" customHeight="1" x14ac:dyDescent="0.2">
      <c r="A583" s="74">
        <v>60790</v>
      </c>
      <c r="B583" s="179" t="s">
        <v>881</v>
      </c>
      <c r="C583" s="74">
        <v>30025122</v>
      </c>
      <c r="D583" s="74" t="s">
        <v>881</v>
      </c>
      <c r="E583" s="174" t="s">
        <v>975</v>
      </c>
      <c r="F583" s="174" t="s">
        <v>1090</v>
      </c>
      <c r="G583" s="174" t="s">
        <v>1045</v>
      </c>
      <c r="H583" s="174" t="s">
        <v>330</v>
      </c>
      <c r="I583" s="174" t="s">
        <v>1270</v>
      </c>
      <c r="J583" s="174" t="s">
        <v>1271</v>
      </c>
      <c r="K583" s="153" t="s">
        <v>334</v>
      </c>
      <c r="L583" s="174">
        <v>20064497</v>
      </c>
      <c r="M583" s="225" t="s">
        <v>73</v>
      </c>
      <c r="N583" s="174" t="s">
        <v>1431</v>
      </c>
      <c r="O583" s="174" t="s">
        <v>1272</v>
      </c>
      <c r="P583" s="174" t="s">
        <v>1273</v>
      </c>
      <c r="Q583" s="174" t="s">
        <v>507</v>
      </c>
      <c r="R583" s="174" t="s">
        <v>509</v>
      </c>
      <c r="T583" s="174">
        <v>4</v>
      </c>
    </row>
    <row r="584" spans="1:21" ht="20.100000000000001" customHeight="1" x14ac:dyDescent="0.2">
      <c r="A584" s="223">
        <v>60730</v>
      </c>
      <c r="B584" s="179" t="s">
        <v>881</v>
      </c>
      <c r="C584" s="223">
        <v>30025119</v>
      </c>
      <c r="D584" s="74" t="s">
        <v>881</v>
      </c>
      <c r="E584" s="174" t="s">
        <v>997</v>
      </c>
      <c r="F584" s="153" t="s">
        <v>1090</v>
      </c>
      <c r="G584" s="153" t="s">
        <v>1056</v>
      </c>
      <c r="H584" s="153" t="s">
        <v>332</v>
      </c>
      <c r="I584" s="174" t="s">
        <v>1092</v>
      </c>
      <c r="J584" s="149" t="s">
        <v>1274</v>
      </c>
      <c r="K584" s="174" t="s">
        <v>334</v>
      </c>
      <c r="L584" s="153">
        <v>20064178</v>
      </c>
      <c r="M584" s="185" t="s">
        <v>73</v>
      </c>
      <c r="N584" s="174" t="s">
        <v>542</v>
      </c>
      <c r="O584" s="174" t="s">
        <v>660</v>
      </c>
      <c r="P584" s="174" t="s">
        <v>657</v>
      </c>
      <c r="Q584" s="174" t="s">
        <v>507</v>
      </c>
      <c r="R584" s="174" t="s">
        <v>509</v>
      </c>
      <c r="S584" s="153"/>
      <c r="T584" s="174" t="s">
        <v>633</v>
      </c>
      <c r="U584" s="153"/>
    </row>
    <row r="585" spans="1:21" ht="20.100000000000001" customHeight="1" x14ac:dyDescent="0.2">
      <c r="A585" s="74">
        <v>99528</v>
      </c>
      <c r="B585" s="179" t="s">
        <v>881</v>
      </c>
      <c r="C585" s="74">
        <v>30024648</v>
      </c>
      <c r="D585" s="74" t="s">
        <v>881</v>
      </c>
      <c r="E585" s="174" t="s">
        <v>997</v>
      </c>
      <c r="F585" s="174" t="s">
        <v>671</v>
      </c>
      <c r="G585" s="153" t="s">
        <v>1056</v>
      </c>
      <c r="H585" s="174" t="s">
        <v>329</v>
      </c>
      <c r="I585" s="174" t="s">
        <v>348</v>
      </c>
      <c r="J585" s="174" t="s">
        <v>349</v>
      </c>
      <c r="K585" s="174" t="s">
        <v>334</v>
      </c>
      <c r="L585" s="174">
        <v>20065354</v>
      </c>
      <c r="M585" s="185" t="s">
        <v>73</v>
      </c>
      <c r="N585" s="174" t="s">
        <v>1275</v>
      </c>
      <c r="O585" s="174" t="s">
        <v>398</v>
      </c>
      <c r="P585" s="174" t="s">
        <v>399</v>
      </c>
      <c r="Q585" s="174" t="s">
        <v>207</v>
      </c>
      <c r="R585" s="174" t="s">
        <v>1196</v>
      </c>
      <c r="T585" s="174" t="s">
        <v>633</v>
      </c>
    </row>
    <row r="586" spans="1:21" ht="20.100000000000001" customHeight="1" x14ac:dyDescent="0.2">
      <c r="A586" s="74">
        <v>60815</v>
      </c>
      <c r="B586" s="179" t="s">
        <v>881</v>
      </c>
      <c r="C586" s="74">
        <v>30025242</v>
      </c>
      <c r="D586" s="74" t="s">
        <v>881</v>
      </c>
      <c r="E586" s="174" t="s">
        <v>949</v>
      </c>
      <c r="F586" s="174" t="s">
        <v>671</v>
      </c>
      <c r="G586" s="174" t="s">
        <v>987</v>
      </c>
      <c r="H586" s="174" t="s">
        <v>330</v>
      </c>
      <c r="I586" s="174" t="s">
        <v>1104</v>
      </c>
      <c r="J586" s="174" t="s">
        <v>1105</v>
      </c>
      <c r="K586" s="174" t="s">
        <v>334</v>
      </c>
      <c r="L586" s="174">
        <v>20064719</v>
      </c>
      <c r="M586" s="224" t="s">
        <v>73</v>
      </c>
      <c r="O586" s="174" t="s">
        <v>1276</v>
      </c>
      <c r="P586" s="174" t="s">
        <v>1499</v>
      </c>
      <c r="Q586" s="174" t="s">
        <v>412</v>
      </c>
      <c r="R586" s="174" t="s">
        <v>509</v>
      </c>
      <c r="T586" s="174">
        <v>3</v>
      </c>
      <c r="U586" s="174" t="s">
        <v>1277</v>
      </c>
    </row>
    <row r="587" spans="1:21" ht="20.100000000000001" customHeight="1" x14ac:dyDescent="0.2">
      <c r="A587" s="74">
        <v>60810</v>
      </c>
      <c r="B587" s="179" t="s">
        <v>881</v>
      </c>
      <c r="C587" s="74">
        <v>30025245</v>
      </c>
      <c r="D587" s="74" t="s">
        <v>881</v>
      </c>
      <c r="E587" s="174" t="s">
        <v>953</v>
      </c>
      <c r="F587" s="174" t="s">
        <v>671</v>
      </c>
      <c r="G587" s="174" t="s">
        <v>987</v>
      </c>
      <c r="H587" s="174" t="s">
        <v>330</v>
      </c>
      <c r="I587" s="174" t="s">
        <v>1104</v>
      </c>
      <c r="J587" s="174" t="s">
        <v>1105</v>
      </c>
      <c r="K587" s="174" t="s">
        <v>334</v>
      </c>
      <c r="L587" s="174">
        <v>20064417</v>
      </c>
      <c r="M587" s="185" t="s">
        <v>73</v>
      </c>
      <c r="N587" s="174" t="s">
        <v>881</v>
      </c>
      <c r="O587" s="174" t="s">
        <v>1249</v>
      </c>
      <c r="P587" s="174" t="s">
        <v>1498</v>
      </c>
      <c r="Q587" s="174" t="s">
        <v>412</v>
      </c>
      <c r="R587" s="174" t="s">
        <v>509</v>
      </c>
      <c r="T587" s="174">
        <v>3</v>
      </c>
      <c r="U587" s="153" t="s">
        <v>1037</v>
      </c>
    </row>
    <row r="588" spans="1:21" ht="20.100000000000001" customHeight="1" x14ac:dyDescent="0.2">
      <c r="A588" s="223">
        <v>60607</v>
      </c>
      <c r="B588" s="179" t="s">
        <v>881</v>
      </c>
      <c r="C588" s="223">
        <v>30025237</v>
      </c>
      <c r="D588" s="223" t="s">
        <v>881</v>
      </c>
      <c r="E588" s="153" t="s">
        <v>953</v>
      </c>
      <c r="F588" s="153" t="s">
        <v>671</v>
      </c>
      <c r="G588" s="153" t="s">
        <v>1054</v>
      </c>
      <c r="H588" s="153" t="s">
        <v>1278</v>
      </c>
      <c r="I588" s="153" t="s">
        <v>966</v>
      </c>
      <c r="J588" s="150" t="s">
        <v>1079</v>
      </c>
      <c r="K588" s="174" t="s">
        <v>334</v>
      </c>
      <c r="L588" s="153">
        <v>20063938</v>
      </c>
      <c r="M588" s="225" t="s">
        <v>73</v>
      </c>
      <c r="N588" s="153" t="s">
        <v>881</v>
      </c>
      <c r="O588" s="153" t="s">
        <v>1078</v>
      </c>
      <c r="P588" s="153" t="s">
        <v>826</v>
      </c>
      <c r="Q588" s="174" t="s">
        <v>412</v>
      </c>
      <c r="R588" s="153" t="s">
        <v>1196</v>
      </c>
      <c r="S588" s="153"/>
      <c r="T588" s="153">
        <v>3</v>
      </c>
      <c r="U588" s="153" t="s">
        <v>1037</v>
      </c>
    </row>
    <row r="589" spans="1:21" ht="20.100000000000001" customHeight="1" x14ac:dyDescent="0.2">
      <c r="A589" s="223">
        <v>99223</v>
      </c>
      <c r="B589" s="179" t="s">
        <v>881</v>
      </c>
      <c r="C589" s="223">
        <v>30025230</v>
      </c>
      <c r="D589" s="223" t="s">
        <v>881</v>
      </c>
      <c r="E589" s="153" t="s">
        <v>1084</v>
      </c>
      <c r="F589" s="153" t="s">
        <v>687</v>
      </c>
      <c r="G589" s="153" t="s">
        <v>1081</v>
      </c>
      <c r="H589" s="153" t="s">
        <v>336</v>
      </c>
      <c r="I589" s="153" t="s">
        <v>1279</v>
      </c>
      <c r="J589" s="150" t="s">
        <v>645</v>
      </c>
      <c r="K589" s="174" t="s">
        <v>334</v>
      </c>
      <c r="L589" s="153">
        <v>20061131</v>
      </c>
      <c r="M589" s="225" t="s">
        <v>73</v>
      </c>
      <c r="N589" s="153" t="s">
        <v>881</v>
      </c>
      <c r="O589" s="153" t="s">
        <v>484</v>
      </c>
      <c r="P589" s="153" t="s">
        <v>468</v>
      </c>
      <c r="Q589" s="174" t="s">
        <v>412</v>
      </c>
      <c r="R589" s="153" t="s">
        <v>1196</v>
      </c>
      <c r="S589" s="153"/>
      <c r="T589" s="153">
        <v>3</v>
      </c>
      <c r="U589" s="153" t="s">
        <v>1280</v>
      </c>
    </row>
    <row r="590" spans="1:21" ht="20.100000000000001" customHeight="1" x14ac:dyDescent="0.2">
      <c r="A590" s="74">
        <v>99558</v>
      </c>
      <c r="B590" s="179" t="s">
        <v>881</v>
      </c>
      <c r="C590" s="74">
        <v>30025080</v>
      </c>
      <c r="D590" s="74" t="s">
        <v>881</v>
      </c>
      <c r="E590" s="174" t="s">
        <v>953</v>
      </c>
      <c r="F590" s="174" t="s">
        <v>671</v>
      </c>
      <c r="G590" s="174" t="s">
        <v>1281</v>
      </c>
      <c r="H590" s="174" t="s">
        <v>326</v>
      </c>
      <c r="I590" s="174" t="s">
        <v>536</v>
      </c>
      <c r="J590" s="174" t="s">
        <v>992</v>
      </c>
      <c r="K590" s="174" t="s">
        <v>334</v>
      </c>
      <c r="L590" s="174" t="s">
        <v>1282</v>
      </c>
      <c r="M590" s="185" t="s">
        <v>73</v>
      </c>
      <c r="N590" s="174" t="s">
        <v>1294</v>
      </c>
      <c r="O590" s="174" t="s">
        <v>1238</v>
      </c>
      <c r="P590" s="174" t="s">
        <v>1265</v>
      </c>
      <c r="Q590" s="174" t="s">
        <v>489</v>
      </c>
      <c r="R590" s="174" t="s">
        <v>1196</v>
      </c>
      <c r="T590" s="174">
        <v>3</v>
      </c>
      <c r="U590" s="174" t="s">
        <v>1283</v>
      </c>
    </row>
    <row r="591" spans="1:21" ht="20.100000000000001" customHeight="1" x14ac:dyDescent="0.2">
      <c r="A591" s="223">
        <v>99587</v>
      </c>
      <c r="B591" s="179" t="s">
        <v>881</v>
      </c>
      <c r="C591" s="223">
        <v>30024895</v>
      </c>
      <c r="D591" s="223" t="s">
        <v>881</v>
      </c>
      <c r="E591" s="153" t="s">
        <v>997</v>
      </c>
      <c r="F591" s="174" t="s">
        <v>671</v>
      </c>
      <c r="G591" s="153" t="s">
        <v>1049</v>
      </c>
      <c r="H591" s="174" t="s">
        <v>329</v>
      </c>
      <c r="I591" s="174" t="s">
        <v>598</v>
      </c>
      <c r="J591" s="150"/>
      <c r="K591" s="174" t="s">
        <v>334</v>
      </c>
      <c r="L591" s="153">
        <v>20065641</v>
      </c>
      <c r="M591" s="185" t="s">
        <v>73</v>
      </c>
      <c r="N591" s="174" t="s">
        <v>542</v>
      </c>
      <c r="O591" s="174" t="s">
        <v>415</v>
      </c>
      <c r="P591" s="174" t="s">
        <v>416</v>
      </c>
      <c r="Q591" s="174" t="s">
        <v>406</v>
      </c>
      <c r="R591" s="174" t="s">
        <v>1196</v>
      </c>
      <c r="S591" s="153"/>
      <c r="T591" s="153">
        <v>3</v>
      </c>
      <c r="U591" s="153"/>
    </row>
    <row r="592" spans="1:21" ht="20.100000000000001" customHeight="1" x14ac:dyDescent="0.2">
      <c r="A592" s="223">
        <v>60997</v>
      </c>
      <c r="B592" s="179" t="s">
        <v>881</v>
      </c>
      <c r="C592" s="223">
        <v>30025129</v>
      </c>
      <c r="D592" s="74" t="s">
        <v>881</v>
      </c>
      <c r="E592" s="174" t="s">
        <v>949</v>
      </c>
      <c r="F592" s="174" t="s">
        <v>671</v>
      </c>
      <c r="G592" s="153" t="s">
        <v>1056</v>
      </c>
      <c r="H592" s="174" t="s">
        <v>329</v>
      </c>
      <c r="I592" s="174" t="s">
        <v>1007</v>
      </c>
      <c r="J592" s="174" t="s">
        <v>976</v>
      </c>
      <c r="K592" s="174" t="s">
        <v>334</v>
      </c>
      <c r="L592" s="153">
        <v>20065030</v>
      </c>
      <c r="M592" s="185" t="s">
        <v>73</v>
      </c>
      <c r="N592" s="153" t="s">
        <v>1295</v>
      </c>
      <c r="O592" s="174" t="s">
        <v>1284</v>
      </c>
      <c r="P592" s="174" t="s">
        <v>1285</v>
      </c>
      <c r="Q592" s="174" t="s">
        <v>507</v>
      </c>
      <c r="R592" s="153" t="s">
        <v>1196</v>
      </c>
      <c r="S592" s="153"/>
      <c r="T592" s="153">
        <v>2</v>
      </c>
      <c r="U592" s="153"/>
    </row>
    <row r="593" spans="1:21" ht="20.100000000000001" customHeight="1" x14ac:dyDescent="0.2">
      <c r="A593" s="223">
        <v>99878</v>
      </c>
      <c r="B593" s="179" t="s">
        <v>881</v>
      </c>
      <c r="C593" s="223">
        <v>30024896</v>
      </c>
      <c r="D593" s="223" t="s">
        <v>881</v>
      </c>
      <c r="E593" s="153" t="s">
        <v>949</v>
      </c>
      <c r="F593" s="153" t="s">
        <v>687</v>
      </c>
      <c r="G593" s="153" t="s">
        <v>1107</v>
      </c>
      <c r="H593" s="153" t="s">
        <v>332</v>
      </c>
      <c r="I593" s="153" t="s">
        <v>598</v>
      </c>
      <c r="J593" s="150" t="s">
        <v>1286</v>
      </c>
      <c r="K593" s="174" t="s">
        <v>334</v>
      </c>
      <c r="L593" s="153">
        <v>20061618</v>
      </c>
      <c r="M593" s="185" t="s">
        <v>73</v>
      </c>
      <c r="N593" s="153" t="s">
        <v>1290</v>
      </c>
      <c r="O593" s="153" t="s">
        <v>426</v>
      </c>
      <c r="P593" s="153" t="s">
        <v>427</v>
      </c>
      <c r="Q593" s="153" t="s">
        <v>412</v>
      </c>
      <c r="R593" s="153" t="s">
        <v>1196</v>
      </c>
      <c r="S593" s="153"/>
      <c r="T593" s="153">
        <v>3</v>
      </c>
      <c r="U593" s="153"/>
    </row>
    <row r="594" spans="1:21" ht="20.100000000000001" customHeight="1" x14ac:dyDescent="0.2">
      <c r="A594" s="223">
        <v>60736</v>
      </c>
      <c r="B594" s="179" t="s">
        <v>881</v>
      </c>
      <c r="C594" s="223">
        <v>30025118</v>
      </c>
      <c r="D594" s="223" t="s">
        <v>881</v>
      </c>
      <c r="E594" s="153" t="s">
        <v>949</v>
      </c>
      <c r="F594" s="153" t="s">
        <v>978</v>
      </c>
      <c r="G594" s="153" t="s">
        <v>1056</v>
      </c>
      <c r="H594" s="153" t="s">
        <v>329</v>
      </c>
      <c r="I594" s="153" t="s">
        <v>967</v>
      </c>
      <c r="J594" s="150" t="s">
        <v>976</v>
      </c>
      <c r="K594" s="174" t="s">
        <v>334</v>
      </c>
      <c r="L594" s="153">
        <v>20063957</v>
      </c>
      <c r="M594" s="185" t="s">
        <v>73</v>
      </c>
      <c r="N594" s="153" t="s">
        <v>1289</v>
      </c>
      <c r="O594" s="153" t="s">
        <v>979</v>
      </c>
      <c r="P594" s="153" t="s">
        <v>367</v>
      </c>
      <c r="Q594" s="153" t="s">
        <v>507</v>
      </c>
      <c r="R594" s="153" t="s">
        <v>1196</v>
      </c>
      <c r="S594" s="153"/>
      <c r="T594" s="153">
        <v>2</v>
      </c>
      <c r="U594" s="153"/>
    </row>
    <row r="595" spans="1:21" ht="20.100000000000001" customHeight="1" x14ac:dyDescent="0.2">
      <c r="A595" s="223">
        <v>60507</v>
      </c>
      <c r="B595" s="179" t="s">
        <v>881</v>
      </c>
      <c r="C595" s="223">
        <v>30025234</v>
      </c>
      <c r="D595" s="223" t="s">
        <v>881</v>
      </c>
      <c r="E595" s="153" t="s">
        <v>975</v>
      </c>
      <c r="F595" s="153" t="s">
        <v>1090</v>
      </c>
      <c r="G595" s="153" t="s">
        <v>1044</v>
      </c>
      <c r="H595" s="153" t="s">
        <v>332</v>
      </c>
      <c r="I595" s="153" t="s">
        <v>1296</v>
      </c>
      <c r="J595" s="150" t="s">
        <v>1292</v>
      </c>
      <c r="K595" s="174" t="s">
        <v>334</v>
      </c>
      <c r="L595" s="153">
        <v>20063469</v>
      </c>
      <c r="M595" s="185" t="s">
        <v>73</v>
      </c>
      <c r="N595" s="153"/>
      <c r="O595" s="153" t="s">
        <v>1293</v>
      </c>
      <c r="P595" s="153" t="s">
        <v>1291</v>
      </c>
      <c r="Q595" s="153" t="s">
        <v>384</v>
      </c>
      <c r="R595" s="153" t="s">
        <v>1196</v>
      </c>
      <c r="S595" s="153"/>
      <c r="T595" s="153">
        <v>4</v>
      </c>
      <c r="U595" s="153"/>
    </row>
    <row r="596" spans="1:21" ht="20.100000000000001" customHeight="1" x14ac:dyDescent="0.2">
      <c r="A596" s="74">
        <v>99512</v>
      </c>
      <c r="B596" s="179" t="s">
        <v>881</v>
      </c>
      <c r="C596" s="223">
        <v>30024894</v>
      </c>
      <c r="D596" s="74" t="s">
        <v>881</v>
      </c>
      <c r="E596" s="153" t="s">
        <v>949</v>
      </c>
      <c r="F596" s="174" t="s">
        <v>671</v>
      </c>
      <c r="G596" s="153" t="s">
        <v>1056</v>
      </c>
      <c r="H596" s="153" t="s">
        <v>329</v>
      </c>
      <c r="I596" s="174" t="s">
        <v>348</v>
      </c>
      <c r="J596" s="174" t="s">
        <v>349</v>
      </c>
      <c r="K596" s="174" t="s">
        <v>334</v>
      </c>
      <c r="L596" s="153">
        <v>20060376</v>
      </c>
      <c r="M596" s="185" t="s">
        <v>73</v>
      </c>
      <c r="N596" s="153"/>
      <c r="O596" s="174" t="s">
        <v>398</v>
      </c>
      <c r="P596" s="174" t="s">
        <v>399</v>
      </c>
      <c r="Q596" s="174" t="s">
        <v>207</v>
      </c>
      <c r="R596" s="174" t="s">
        <v>1196</v>
      </c>
      <c r="S596" s="153"/>
      <c r="T596" s="174" t="s">
        <v>633</v>
      </c>
      <c r="U596" s="153"/>
    </row>
    <row r="597" spans="1:21" ht="20.100000000000001" customHeight="1" x14ac:dyDescent="0.2">
      <c r="A597" s="223"/>
      <c r="C597" s="223"/>
      <c r="D597" s="223"/>
      <c r="E597" s="153"/>
      <c r="F597" s="153"/>
      <c r="G597" s="153"/>
      <c r="H597" s="153"/>
      <c r="I597" s="153"/>
      <c r="J597" s="150"/>
      <c r="K597" s="153"/>
      <c r="L597" s="153"/>
      <c r="M597" s="225"/>
      <c r="N597" s="153"/>
      <c r="O597" s="153"/>
      <c r="P597" s="153"/>
      <c r="Q597" s="153"/>
      <c r="R597" s="153"/>
      <c r="S597" s="153"/>
      <c r="T597" s="153"/>
      <c r="U597" s="153"/>
    </row>
    <row r="598" spans="1:21" ht="20.100000000000001" customHeight="1" x14ac:dyDescent="0.2">
      <c r="A598" s="223"/>
      <c r="C598" s="223"/>
      <c r="D598" s="223"/>
      <c r="E598" s="153"/>
      <c r="F598" s="153"/>
      <c r="G598" s="153"/>
      <c r="H598" s="153"/>
      <c r="I598" s="153"/>
      <c r="J598" s="150"/>
      <c r="K598" s="153"/>
      <c r="L598" s="153"/>
      <c r="M598" s="225"/>
      <c r="N598" s="153"/>
      <c r="O598" s="153"/>
      <c r="P598" s="153"/>
      <c r="Q598" s="153"/>
      <c r="R598" s="153"/>
      <c r="S598" s="153"/>
      <c r="T598" s="153"/>
      <c r="U598" s="153"/>
    </row>
    <row r="599" spans="1:21" ht="20.100000000000001" customHeight="1" x14ac:dyDescent="0.2">
      <c r="A599" s="223"/>
      <c r="C599" s="223"/>
      <c r="D599" s="223"/>
      <c r="E599" s="153"/>
      <c r="F599" s="153"/>
      <c r="G599" s="153"/>
      <c r="H599" s="153"/>
      <c r="I599" s="153"/>
      <c r="J599" s="150"/>
      <c r="K599" s="153"/>
      <c r="L599" s="153"/>
      <c r="M599" s="225"/>
      <c r="N599" s="153"/>
      <c r="O599" s="153"/>
      <c r="P599" s="153"/>
      <c r="Q599" s="153"/>
      <c r="R599" s="153"/>
      <c r="S599" s="153"/>
      <c r="T599" s="153"/>
      <c r="U599" s="153"/>
    </row>
    <row r="600" spans="1:21" ht="20.100000000000001" customHeight="1" x14ac:dyDescent="0.2">
      <c r="A600" s="223"/>
      <c r="C600" s="223"/>
      <c r="D600" s="223"/>
      <c r="E600" s="153"/>
      <c r="F600" s="153"/>
      <c r="G600" s="153"/>
      <c r="H600" s="153"/>
      <c r="I600" s="153"/>
      <c r="J600" s="150"/>
      <c r="K600" s="153"/>
      <c r="L600" s="153"/>
      <c r="M600" s="225"/>
      <c r="N600" s="153"/>
      <c r="O600" s="153"/>
      <c r="P600" s="153"/>
      <c r="Q600" s="153"/>
      <c r="R600" s="153"/>
      <c r="S600" s="153"/>
      <c r="T600" s="153"/>
      <c r="U600" s="153"/>
    </row>
    <row r="601" spans="1:21" ht="20.100000000000001" customHeight="1" x14ac:dyDescent="0.2">
      <c r="A601" s="223"/>
      <c r="C601" s="223"/>
      <c r="D601" s="223"/>
      <c r="E601" s="153"/>
      <c r="F601" s="153"/>
      <c r="G601" s="153"/>
      <c r="H601" s="153"/>
      <c r="I601" s="153"/>
      <c r="J601" s="150"/>
      <c r="K601" s="153"/>
      <c r="L601" s="153"/>
      <c r="M601" s="225"/>
      <c r="N601" s="153"/>
      <c r="O601" s="153"/>
      <c r="P601" s="153"/>
      <c r="Q601" s="153"/>
      <c r="R601" s="153"/>
      <c r="S601" s="153"/>
      <c r="T601" s="153"/>
      <c r="U601" s="153"/>
    </row>
    <row r="602" spans="1:21" ht="20.100000000000001" customHeight="1" x14ac:dyDescent="0.2">
      <c r="A602" s="223"/>
      <c r="C602" s="223"/>
      <c r="D602" s="223"/>
      <c r="E602" s="153"/>
      <c r="F602" s="153"/>
      <c r="G602" s="153"/>
      <c r="H602" s="153"/>
      <c r="I602" s="153"/>
      <c r="J602" s="150"/>
      <c r="K602" s="153"/>
      <c r="L602" s="153"/>
      <c r="M602" s="225"/>
      <c r="N602" s="153"/>
      <c r="O602" s="153"/>
      <c r="P602" s="153"/>
      <c r="Q602" s="153"/>
      <c r="R602" s="153"/>
      <c r="S602" s="153"/>
      <c r="T602" s="153"/>
      <c r="U602" s="153"/>
    </row>
    <row r="603" spans="1:21" ht="20.100000000000001" customHeight="1" x14ac:dyDescent="0.2">
      <c r="M603" s="224"/>
    </row>
    <row r="604" spans="1:21" ht="20.100000000000001" customHeight="1" x14ac:dyDescent="0.2">
      <c r="M604" s="224"/>
    </row>
    <row r="605" spans="1:21" ht="20.100000000000001" customHeight="1" x14ac:dyDescent="0.2">
      <c r="A605" s="223"/>
      <c r="C605" s="223"/>
      <c r="D605" s="223"/>
      <c r="E605" s="153"/>
      <c r="F605" s="153"/>
      <c r="G605" s="153"/>
      <c r="H605" s="153"/>
      <c r="I605" s="153"/>
      <c r="J605" s="150"/>
      <c r="K605" s="153"/>
      <c r="L605" s="153"/>
      <c r="M605" s="225"/>
      <c r="N605" s="153"/>
      <c r="O605" s="153"/>
      <c r="P605" s="153"/>
      <c r="Q605" s="153"/>
      <c r="R605" s="153"/>
      <c r="S605" s="153"/>
      <c r="T605" s="153"/>
      <c r="U605" s="153"/>
    </row>
    <row r="606" spans="1:21" ht="20.100000000000001" customHeight="1" x14ac:dyDescent="0.2">
      <c r="A606" s="217"/>
      <c r="C606" s="217"/>
      <c r="D606" s="217"/>
      <c r="E606" s="218"/>
      <c r="F606" s="218"/>
      <c r="G606" s="218"/>
      <c r="H606" s="218"/>
      <c r="I606" s="218"/>
      <c r="J606" s="146"/>
      <c r="K606" s="218"/>
      <c r="L606" s="218"/>
      <c r="M606" s="219"/>
      <c r="N606" s="218"/>
      <c r="O606" s="218"/>
      <c r="P606" s="218"/>
      <c r="Q606" s="218"/>
      <c r="R606" s="218"/>
      <c r="S606" s="218"/>
      <c r="T606" s="218"/>
      <c r="U606" s="218"/>
    </row>
    <row r="607" spans="1:21" ht="20.100000000000001" customHeight="1" x14ac:dyDescent="0.2">
      <c r="A607" s="217"/>
      <c r="C607" s="217"/>
      <c r="D607" s="217"/>
      <c r="E607" s="218"/>
      <c r="F607" s="218"/>
      <c r="G607" s="218"/>
      <c r="H607" s="218"/>
      <c r="I607" s="218"/>
      <c r="J607" s="146"/>
      <c r="K607" s="218"/>
      <c r="L607" s="218"/>
      <c r="M607" s="219"/>
      <c r="N607" s="218"/>
      <c r="O607" s="218"/>
      <c r="P607" s="218"/>
      <c r="Q607" s="218"/>
      <c r="R607" s="218"/>
      <c r="S607" s="218"/>
      <c r="T607" s="218"/>
      <c r="U607" s="218"/>
    </row>
    <row r="608" spans="1:21" ht="20.100000000000001" customHeight="1" x14ac:dyDescent="0.2">
      <c r="M608" s="224"/>
    </row>
    <row r="609" spans="1:21" ht="20.100000000000001" customHeight="1" x14ac:dyDescent="0.2">
      <c r="M609" s="185"/>
      <c r="U609" s="184"/>
    </row>
    <row r="610" spans="1:21" ht="20.100000000000001" customHeight="1" x14ac:dyDescent="0.2">
      <c r="A610" s="214"/>
      <c r="C610" s="214"/>
      <c r="D610" s="214"/>
      <c r="F610" s="214"/>
      <c r="G610" s="214"/>
      <c r="H610" s="214"/>
      <c r="I610" s="214"/>
      <c r="J610" s="214"/>
      <c r="K610" s="214"/>
      <c r="L610" s="214"/>
      <c r="M610" s="214"/>
      <c r="N610" s="214"/>
      <c r="O610" s="214"/>
      <c r="P610" s="214"/>
      <c r="Q610" s="214"/>
      <c r="R610" s="214"/>
      <c r="S610" s="214"/>
      <c r="T610" s="214"/>
      <c r="U610" s="184"/>
    </row>
    <row r="637" spans="3:3" ht="20.100000000000001" customHeight="1" x14ac:dyDescent="0.2">
      <c r="C637" s="74">
        <v>0</v>
      </c>
    </row>
  </sheetData>
  <phoneticPr fontId="7" type="noConversion"/>
  <conditionalFormatting sqref="A251:B266">
    <cfRule type="duplicateValues" dxfId="30" priority="2"/>
  </conditionalFormatting>
  <pageMargins left="0.70866141732283472" right="0.70866141732283472" top="0.74803149606299213" bottom="0.74803149606299213" header="0.31496062992125984" footer="0.31496062992125984"/>
  <pageSetup paperSize="9" scale="53" fitToHeight="0" orientation="landscape" r:id="rId1"/>
  <headerFooter alignWithMargins="0">
    <oddHeader>&amp;C&amp;6Specyfikacja Notebooków REFURBISH&amp;10
&amp;R&amp;G</oddHeader>
    <oddFooter>&amp;R&amp;6Wykonał: Dariusz Sajdak
Data: 10.05.2016</oddFooter>
  </headerFooter>
  <legacyDrawingHF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K141"/>
  <sheetViews>
    <sheetView tabSelected="1" topLeftCell="A19" workbookViewId="0">
      <selection activeCell="D48" sqref="D48"/>
    </sheetView>
  </sheetViews>
  <sheetFormatPr defaultRowHeight="12.75" x14ac:dyDescent="0.2"/>
  <cols>
    <col min="1" max="1" width="21.42578125" style="244" bestFit="1" customWidth="1"/>
    <col min="2" max="2" width="23" bestFit="1" customWidth="1"/>
    <col min="3" max="3" width="18" customWidth="1"/>
    <col min="4" max="5" width="32.28515625" style="283" customWidth="1"/>
    <col min="6" max="6" width="32.28515625" style="173" customWidth="1"/>
    <col min="7" max="7" width="23" bestFit="1" customWidth="1"/>
    <col min="9" max="9" width="21.85546875" customWidth="1"/>
    <col min="10" max="10" width="30.85546875" customWidth="1"/>
  </cols>
  <sheetData>
    <row r="1" spans="1:11" ht="15" x14ac:dyDescent="0.25">
      <c r="A1" s="124" t="s">
        <v>83</v>
      </c>
      <c r="B1" s="124" t="s">
        <v>863</v>
      </c>
      <c r="C1" s="124" t="s">
        <v>862</v>
      </c>
      <c r="D1" s="255" t="s">
        <v>711</v>
      </c>
      <c r="E1" s="255" t="s">
        <v>542</v>
      </c>
      <c r="F1" s="123" t="s">
        <v>1375</v>
      </c>
      <c r="G1" s="122" t="s">
        <v>861</v>
      </c>
    </row>
    <row r="2" spans="1:11" ht="15" x14ac:dyDescent="0.25">
      <c r="A2" s="126" t="s">
        <v>860</v>
      </c>
      <c r="B2" s="126"/>
      <c r="C2" s="126"/>
      <c r="D2" s="256"/>
      <c r="E2" s="256"/>
      <c r="F2" s="126"/>
      <c r="G2" s="126"/>
    </row>
    <row r="3" spans="1:11" ht="15" x14ac:dyDescent="0.25">
      <c r="A3" s="229" t="s">
        <v>859</v>
      </c>
      <c r="B3" s="84" t="s">
        <v>412</v>
      </c>
      <c r="C3" s="84" t="s">
        <v>857</v>
      </c>
      <c r="D3" s="257" t="s">
        <v>1403</v>
      </c>
      <c r="E3" s="257"/>
      <c r="F3" s="117"/>
      <c r="G3" s="119"/>
      <c r="I3" s="125" t="s">
        <v>864</v>
      </c>
      <c r="J3" s="125" t="s">
        <v>866</v>
      </c>
    </row>
    <row r="4" spans="1:11" ht="15" x14ac:dyDescent="0.25">
      <c r="A4" s="229" t="s">
        <v>858</v>
      </c>
      <c r="B4" s="84" t="s">
        <v>412</v>
      </c>
      <c r="C4" s="84" t="s">
        <v>857</v>
      </c>
      <c r="D4" s="257" t="s">
        <v>1402</v>
      </c>
      <c r="E4" s="257"/>
      <c r="F4" s="117"/>
      <c r="G4" s="119"/>
      <c r="I4" s="125" t="s">
        <v>865</v>
      </c>
      <c r="J4" t="str">
        <f>VLOOKUP("*"&amp;$J$3&amp;"*",$A$3:$G$125,1,0)</f>
        <v xml:space="preserve">E6221 </v>
      </c>
      <c r="K4" t="str">
        <f>VLOOKUP("*"&amp;$J$3&amp;"*",$A$3:$G$125,2,0)</f>
        <v>Pegatron</v>
      </c>
    </row>
    <row r="5" spans="1:11" ht="30" x14ac:dyDescent="0.25">
      <c r="A5" s="230" t="s">
        <v>1147</v>
      </c>
      <c r="B5" s="84" t="s">
        <v>412</v>
      </c>
      <c r="C5" s="84" t="s">
        <v>856</v>
      </c>
      <c r="D5" s="257" t="s">
        <v>1401</v>
      </c>
      <c r="E5" s="257"/>
      <c r="F5" s="117"/>
      <c r="G5" s="119"/>
      <c r="I5" s="125"/>
    </row>
    <row r="6" spans="1:11" ht="30" x14ac:dyDescent="0.25">
      <c r="A6" s="230" t="s">
        <v>1148</v>
      </c>
      <c r="B6" s="84" t="s">
        <v>412</v>
      </c>
      <c r="C6" s="84" t="s">
        <v>856</v>
      </c>
      <c r="D6" s="257" t="s">
        <v>1399</v>
      </c>
      <c r="E6" s="257"/>
      <c r="F6" s="117"/>
      <c r="G6" s="119"/>
      <c r="I6" s="125"/>
    </row>
    <row r="7" spans="1:11" ht="15" x14ac:dyDescent="0.25">
      <c r="A7" s="229" t="s">
        <v>855</v>
      </c>
      <c r="B7" s="84" t="s">
        <v>412</v>
      </c>
      <c r="C7" s="84" t="s">
        <v>854</v>
      </c>
      <c r="D7" s="257" t="s">
        <v>1400</v>
      </c>
      <c r="E7" s="257"/>
      <c r="F7" s="117"/>
      <c r="G7" s="119"/>
      <c r="I7" s="125"/>
    </row>
    <row r="8" spans="1:11" ht="30" x14ac:dyDescent="0.25">
      <c r="A8" s="230" t="s">
        <v>1149</v>
      </c>
      <c r="B8" s="107" t="s">
        <v>412</v>
      </c>
      <c r="C8" s="107" t="s">
        <v>853</v>
      </c>
      <c r="D8" s="258" t="s">
        <v>1399</v>
      </c>
      <c r="E8" s="258"/>
      <c r="F8" s="121"/>
      <c r="G8" s="119"/>
    </row>
    <row r="9" spans="1:11" ht="15" x14ac:dyDescent="0.25">
      <c r="A9" s="231" t="s">
        <v>852</v>
      </c>
      <c r="B9" s="120" t="s">
        <v>823</v>
      </c>
      <c r="C9" s="120" t="s">
        <v>436</v>
      </c>
      <c r="D9" s="259">
        <v>503</v>
      </c>
      <c r="E9" s="259"/>
      <c r="F9" s="113"/>
      <c r="G9" s="119"/>
    </row>
    <row r="10" spans="1:11" ht="15" x14ac:dyDescent="0.25">
      <c r="A10" s="231" t="s">
        <v>1150</v>
      </c>
      <c r="B10" s="120" t="s">
        <v>823</v>
      </c>
      <c r="C10" s="120" t="s">
        <v>851</v>
      </c>
      <c r="D10" s="259">
        <v>208</v>
      </c>
      <c r="E10" s="259"/>
      <c r="F10" s="113"/>
      <c r="G10" s="119"/>
    </row>
    <row r="11" spans="1:11" ht="15" x14ac:dyDescent="0.25">
      <c r="A11" s="231" t="s">
        <v>435</v>
      </c>
      <c r="B11" s="120" t="s">
        <v>823</v>
      </c>
      <c r="C11" s="120" t="s">
        <v>436</v>
      </c>
      <c r="D11" s="259">
        <v>503</v>
      </c>
      <c r="E11" s="259"/>
      <c r="F11" s="113"/>
      <c r="G11" s="119"/>
    </row>
    <row r="12" spans="1:11" ht="15" x14ac:dyDescent="0.25">
      <c r="A12" s="231" t="s">
        <v>1151</v>
      </c>
      <c r="B12" s="120" t="s">
        <v>823</v>
      </c>
      <c r="C12" s="120" t="s">
        <v>850</v>
      </c>
      <c r="D12" s="259">
        <v>208</v>
      </c>
      <c r="E12" s="259"/>
      <c r="F12" s="113"/>
      <c r="G12" s="119"/>
    </row>
    <row r="13" spans="1:11" ht="30" x14ac:dyDescent="0.25">
      <c r="A13" s="229" t="s">
        <v>1152</v>
      </c>
      <c r="B13" s="84" t="s">
        <v>412</v>
      </c>
      <c r="C13" s="84" t="s">
        <v>849</v>
      </c>
      <c r="D13" s="260" t="s">
        <v>848</v>
      </c>
      <c r="E13" s="260"/>
      <c r="F13" s="115"/>
      <c r="G13" s="119"/>
    </row>
    <row r="14" spans="1:11" ht="30" x14ac:dyDescent="0.25">
      <c r="A14" s="230" t="s">
        <v>1147</v>
      </c>
      <c r="B14" s="84" t="s">
        <v>412</v>
      </c>
      <c r="C14" s="84" t="s">
        <v>847</v>
      </c>
      <c r="D14" s="260" t="s">
        <v>1398</v>
      </c>
      <c r="E14" s="260"/>
      <c r="F14" s="115"/>
      <c r="G14" s="119"/>
    </row>
    <row r="15" spans="1:11" ht="15" x14ac:dyDescent="0.25">
      <c r="A15" s="230" t="s">
        <v>1187</v>
      </c>
      <c r="B15" s="84" t="s">
        <v>823</v>
      </c>
      <c r="C15" s="84" t="s">
        <v>846</v>
      </c>
      <c r="D15" s="261" t="s">
        <v>845</v>
      </c>
      <c r="E15" s="261"/>
      <c r="F15" s="114"/>
      <c r="G15" s="119"/>
    </row>
    <row r="16" spans="1:11" ht="15" x14ac:dyDescent="0.25">
      <c r="A16" s="229" t="s">
        <v>1153</v>
      </c>
      <c r="B16" s="84" t="s">
        <v>412</v>
      </c>
      <c r="C16" s="84" t="s">
        <v>844</v>
      </c>
      <c r="D16" s="260" t="s">
        <v>1397</v>
      </c>
      <c r="E16" s="260"/>
      <c r="F16" s="115"/>
      <c r="G16" s="119"/>
    </row>
    <row r="17" spans="1:7" ht="15" x14ac:dyDescent="0.25">
      <c r="A17" s="229" t="s">
        <v>433</v>
      </c>
      <c r="B17" s="84" t="s">
        <v>823</v>
      </c>
      <c r="C17" s="84" t="s">
        <v>843</v>
      </c>
      <c r="D17" s="261" t="s">
        <v>842</v>
      </c>
      <c r="E17" s="261"/>
      <c r="F17" s="114"/>
      <c r="G17" s="119"/>
    </row>
    <row r="18" spans="1:7" ht="15" x14ac:dyDescent="0.25">
      <c r="A18" s="230" t="s">
        <v>1154</v>
      </c>
      <c r="B18" s="84" t="s">
        <v>841</v>
      </c>
      <c r="C18" s="84" t="s">
        <v>840</v>
      </c>
      <c r="D18" s="260" t="s">
        <v>1396</v>
      </c>
      <c r="E18" s="260"/>
      <c r="F18" s="115"/>
      <c r="G18" s="119"/>
    </row>
    <row r="19" spans="1:7" ht="45" x14ac:dyDescent="0.25">
      <c r="A19" s="232" t="s">
        <v>1155</v>
      </c>
      <c r="B19" s="108" t="s">
        <v>823</v>
      </c>
      <c r="C19" s="108" t="s">
        <v>414</v>
      </c>
      <c r="D19" s="260" t="s">
        <v>1395</v>
      </c>
      <c r="E19" s="260"/>
      <c r="F19" s="115"/>
      <c r="G19" s="119"/>
    </row>
    <row r="20" spans="1:7" ht="30" x14ac:dyDescent="0.25">
      <c r="A20" s="233" t="s">
        <v>1156</v>
      </c>
      <c r="B20" s="84" t="s">
        <v>839</v>
      </c>
      <c r="C20" s="84" t="s">
        <v>838</v>
      </c>
      <c r="D20" s="259">
        <v>601</v>
      </c>
      <c r="E20" s="259"/>
      <c r="F20" s="113"/>
      <c r="G20" s="118" t="s">
        <v>924</v>
      </c>
    </row>
    <row r="21" spans="1:7" ht="120" x14ac:dyDescent="0.25">
      <c r="A21" s="233" t="s">
        <v>1157</v>
      </c>
      <c r="B21" s="84" t="s">
        <v>837</v>
      </c>
      <c r="C21" s="84" t="s">
        <v>836</v>
      </c>
      <c r="D21" s="257" t="s">
        <v>1394</v>
      </c>
      <c r="E21" s="257"/>
      <c r="F21" s="117"/>
      <c r="G21" s="116"/>
    </row>
    <row r="22" spans="1:7" ht="15" x14ac:dyDescent="0.25">
      <c r="A22" s="232" t="s">
        <v>1158</v>
      </c>
      <c r="B22" s="108" t="s">
        <v>412</v>
      </c>
      <c r="C22" s="108" t="s">
        <v>448</v>
      </c>
      <c r="D22" s="261">
        <v>702</v>
      </c>
      <c r="E22" s="261"/>
      <c r="F22" s="103"/>
      <c r="G22" s="104" t="s">
        <v>835</v>
      </c>
    </row>
    <row r="23" spans="1:7" ht="60" x14ac:dyDescent="0.25">
      <c r="A23" s="232" t="s">
        <v>1159</v>
      </c>
      <c r="B23" s="108" t="s">
        <v>412</v>
      </c>
      <c r="C23" s="108" t="s">
        <v>468</v>
      </c>
      <c r="D23" s="259">
        <v>702</v>
      </c>
      <c r="E23" s="259"/>
      <c r="F23" s="108"/>
      <c r="G23" s="79" t="s">
        <v>834</v>
      </c>
    </row>
    <row r="24" spans="1:7" ht="45" x14ac:dyDescent="0.25">
      <c r="A24" s="230" t="s">
        <v>1160</v>
      </c>
      <c r="B24" s="84" t="s">
        <v>412</v>
      </c>
      <c r="C24" s="84" t="s">
        <v>427</v>
      </c>
      <c r="D24" s="95" t="s">
        <v>1393</v>
      </c>
      <c r="E24" s="95"/>
      <c r="F24" s="79"/>
      <c r="G24" s="79"/>
    </row>
    <row r="25" spans="1:7" ht="30" x14ac:dyDescent="0.25">
      <c r="A25" s="230" t="s">
        <v>1161</v>
      </c>
      <c r="B25" s="84" t="s">
        <v>412</v>
      </c>
      <c r="C25" s="84" t="s">
        <v>477</v>
      </c>
      <c r="D25" s="260" t="s">
        <v>1392</v>
      </c>
      <c r="E25" s="260"/>
      <c r="F25" s="115"/>
      <c r="G25" s="103"/>
    </row>
    <row r="26" spans="1:7" ht="15" x14ac:dyDescent="0.25">
      <c r="A26" s="230" t="s">
        <v>1162</v>
      </c>
      <c r="B26" s="84" t="s">
        <v>833</v>
      </c>
      <c r="C26" s="84" t="s">
        <v>832</v>
      </c>
      <c r="D26" s="261">
        <v>701</v>
      </c>
      <c r="E26" s="261"/>
      <c r="F26" s="114"/>
      <c r="G26" s="103"/>
    </row>
    <row r="27" spans="1:7" ht="15" x14ac:dyDescent="0.25">
      <c r="A27" s="230" t="s">
        <v>925</v>
      </c>
      <c r="B27" s="84" t="s">
        <v>412</v>
      </c>
      <c r="C27" s="84" t="s">
        <v>551</v>
      </c>
      <c r="D27" s="261">
        <v>211</v>
      </c>
      <c r="E27" s="261"/>
      <c r="F27" s="114"/>
      <c r="G27" s="103"/>
    </row>
    <row r="28" spans="1:7" ht="30" x14ac:dyDescent="0.25">
      <c r="A28" s="230" t="s">
        <v>831</v>
      </c>
      <c r="B28" s="84" t="s">
        <v>823</v>
      </c>
      <c r="C28" s="84" t="s">
        <v>830</v>
      </c>
      <c r="D28" s="259">
        <v>701</v>
      </c>
      <c r="E28" s="259"/>
      <c r="F28" s="113"/>
      <c r="G28" s="103"/>
    </row>
    <row r="29" spans="1:7" ht="120" x14ac:dyDescent="0.25">
      <c r="A29" s="230" t="s">
        <v>1198</v>
      </c>
      <c r="B29" s="85" t="s">
        <v>829</v>
      </c>
      <c r="C29" s="84" t="s">
        <v>422</v>
      </c>
      <c r="D29" s="262">
        <v>703</v>
      </c>
      <c r="E29" s="262"/>
      <c r="F29" s="84"/>
      <c r="G29" s="103"/>
    </row>
    <row r="30" spans="1:7" ht="75" x14ac:dyDescent="0.25">
      <c r="A30" s="230" t="s">
        <v>1212</v>
      </c>
      <c r="B30" s="84" t="s">
        <v>412</v>
      </c>
      <c r="C30" s="84" t="s">
        <v>482</v>
      </c>
      <c r="D30" s="263" t="s">
        <v>828</v>
      </c>
      <c r="E30" s="263"/>
      <c r="F30" s="85"/>
      <c r="G30" s="103"/>
    </row>
    <row r="31" spans="1:7" ht="45" x14ac:dyDescent="0.25">
      <c r="A31" s="230" t="s">
        <v>1142</v>
      </c>
      <c r="B31" s="84" t="s">
        <v>412</v>
      </c>
      <c r="C31" s="84" t="s">
        <v>419</v>
      </c>
      <c r="D31" s="263">
        <v>211</v>
      </c>
      <c r="E31" s="263"/>
      <c r="F31" s="85"/>
      <c r="G31" s="103"/>
    </row>
    <row r="32" spans="1:7" ht="25.5" x14ac:dyDescent="0.2">
      <c r="A32" s="234" t="s">
        <v>1143</v>
      </c>
      <c r="B32" s="84" t="s">
        <v>412</v>
      </c>
      <c r="C32" s="228" t="s">
        <v>1430</v>
      </c>
      <c r="D32" s="264">
        <v>208</v>
      </c>
      <c r="E32" s="264"/>
      <c r="F32" s="75"/>
      <c r="G32" s="80"/>
    </row>
    <row r="33" spans="1:7" ht="15" x14ac:dyDescent="0.2">
      <c r="A33" s="234" t="s">
        <v>1033</v>
      </c>
      <c r="B33" s="84" t="s">
        <v>412</v>
      </c>
      <c r="C33" s="81" t="s">
        <v>1034</v>
      </c>
      <c r="D33" s="264">
        <v>209</v>
      </c>
      <c r="E33" s="264"/>
      <c r="F33" s="75"/>
      <c r="G33" s="80"/>
    </row>
    <row r="34" spans="1:7" ht="38.25" x14ac:dyDescent="0.2">
      <c r="A34" s="235" t="s">
        <v>1240</v>
      </c>
      <c r="B34" s="84" t="s">
        <v>412</v>
      </c>
      <c r="C34" s="81" t="s">
        <v>1214</v>
      </c>
      <c r="D34" s="264" t="s">
        <v>1215</v>
      </c>
      <c r="E34" s="264"/>
      <c r="F34" s="75"/>
      <c r="G34" s="80"/>
    </row>
    <row r="35" spans="1:7" ht="29.25" customHeight="1" x14ac:dyDescent="0.25">
      <c r="A35" s="229" t="s">
        <v>1163</v>
      </c>
      <c r="B35" s="84" t="s">
        <v>823</v>
      </c>
      <c r="C35" s="84" t="s">
        <v>386</v>
      </c>
      <c r="D35" s="263">
        <v>222</v>
      </c>
      <c r="E35" s="263"/>
      <c r="F35" s="85"/>
      <c r="G35" s="79"/>
    </row>
    <row r="36" spans="1:7" ht="45" x14ac:dyDescent="0.25">
      <c r="A36" s="236" t="s">
        <v>1144</v>
      </c>
      <c r="B36" s="84" t="s">
        <v>823</v>
      </c>
      <c r="C36" s="84" t="s">
        <v>461</v>
      </c>
      <c r="D36" s="262">
        <v>222</v>
      </c>
      <c r="E36" s="262"/>
      <c r="F36" s="84"/>
      <c r="G36" s="103"/>
    </row>
    <row r="37" spans="1:7" ht="45" x14ac:dyDescent="0.2">
      <c r="A37" s="230" t="s">
        <v>926</v>
      </c>
      <c r="B37" s="84" t="s">
        <v>412</v>
      </c>
      <c r="C37" s="84" t="s">
        <v>385</v>
      </c>
      <c r="D37" s="262">
        <v>212</v>
      </c>
      <c r="E37" s="262"/>
      <c r="F37" s="84"/>
      <c r="G37" s="108" t="s">
        <v>827</v>
      </c>
    </row>
    <row r="38" spans="1:7" ht="45.75" x14ac:dyDescent="0.2">
      <c r="A38" s="237" t="s">
        <v>1094</v>
      </c>
      <c r="B38" s="84" t="s">
        <v>412</v>
      </c>
      <c r="C38" s="84" t="s">
        <v>826</v>
      </c>
      <c r="D38" s="262">
        <v>212</v>
      </c>
      <c r="E38" s="262"/>
      <c r="F38" s="84"/>
      <c r="G38" s="108" t="s">
        <v>825</v>
      </c>
    </row>
    <row r="39" spans="1:7" ht="60" x14ac:dyDescent="0.25">
      <c r="A39" s="230" t="s">
        <v>1025</v>
      </c>
      <c r="B39" s="84" t="s">
        <v>412</v>
      </c>
      <c r="C39" s="84" t="s">
        <v>382</v>
      </c>
      <c r="D39" s="259">
        <v>209</v>
      </c>
      <c r="E39" s="259"/>
      <c r="F39" s="113"/>
      <c r="G39" s="103"/>
    </row>
    <row r="40" spans="1:7" ht="15" x14ac:dyDescent="0.2">
      <c r="A40" s="230" t="s">
        <v>927</v>
      </c>
      <c r="B40" s="84" t="s">
        <v>412</v>
      </c>
      <c r="C40" s="84" t="s">
        <v>383</v>
      </c>
      <c r="D40" s="262">
        <v>220</v>
      </c>
      <c r="E40" s="262"/>
      <c r="F40" s="84"/>
      <c r="G40" s="112" t="s">
        <v>824</v>
      </c>
    </row>
    <row r="41" spans="1:7" ht="15" x14ac:dyDescent="0.25">
      <c r="A41" s="230" t="s">
        <v>1189</v>
      </c>
      <c r="B41" s="84" t="s">
        <v>823</v>
      </c>
      <c r="C41" s="84" t="s">
        <v>822</v>
      </c>
      <c r="D41" s="262">
        <v>106</v>
      </c>
      <c r="E41" s="262"/>
      <c r="F41" s="84"/>
      <c r="G41" s="103"/>
    </row>
    <row r="42" spans="1:7" ht="15" x14ac:dyDescent="0.25">
      <c r="A42" s="230" t="s">
        <v>1188</v>
      </c>
      <c r="B42" s="84" t="s">
        <v>412</v>
      </c>
      <c r="C42" s="84" t="s">
        <v>821</v>
      </c>
      <c r="D42" s="262">
        <v>210</v>
      </c>
      <c r="E42" s="262"/>
      <c r="F42" s="84"/>
      <c r="G42" s="82"/>
    </row>
    <row r="43" spans="1:7" ht="30" x14ac:dyDescent="0.25">
      <c r="A43" s="230" t="s">
        <v>1164</v>
      </c>
      <c r="B43" s="84" t="s">
        <v>820</v>
      </c>
      <c r="C43" s="84" t="s">
        <v>370</v>
      </c>
      <c r="D43" s="262">
        <v>602</v>
      </c>
      <c r="E43" s="262"/>
      <c r="F43" s="84"/>
      <c r="G43" s="82"/>
    </row>
    <row r="44" spans="1:7" ht="30" x14ac:dyDescent="0.25">
      <c r="A44" s="230" t="s">
        <v>1165</v>
      </c>
      <c r="B44" s="84" t="s">
        <v>412</v>
      </c>
      <c r="C44" s="84" t="s">
        <v>374</v>
      </c>
      <c r="D44" s="262">
        <v>707</v>
      </c>
      <c r="E44" s="262"/>
      <c r="F44" s="84"/>
      <c r="G44" s="82"/>
    </row>
    <row r="45" spans="1:7" ht="15" x14ac:dyDescent="0.25">
      <c r="A45" s="229" t="s">
        <v>428</v>
      </c>
      <c r="B45" s="84" t="s">
        <v>819</v>
      </c>
      <c r="C45" s="84" t="s">
        <v>429</v>
      </c>
      <c r="D45" s="262">
        <v>208</v>
      </c>
      <c r="E45" s="262"/>
      <c r="F45" s="84"/>
      <c r="G45" s="82"/>
    </row>
    <row r="46" spans="1:7" ht="30" x14ac:dyDescent="0.25">
      <c r="A46" s="230" t="s">
        <v>1166</v>
      </c>
      <c r="B46" s="84" t="s">
        <v>818</v>
      </c>
      <c r="C46" s="84" t="s">
        <v>425</v>
      </c>
      <c r="D46" s="262" t="s">
        <v>817</v>
      </c>
      <c r="E46" s="262"/>
      <c r="F46" s="84"/>
      <c r="G46" s="82"/>
    </row>
    <row r="47" spans="1:7" ht="15" x14ac:dyDescent="0.2">
      <c r="A47" s="127" t="s">
        <v>207</v>
      </c>
      <c r="B47" s="127"/>
      <c r="C47" s="127"/>
      <c r="D47" s="265"/>
      <c r="E47" s="265"/>
      <c r="F47" s="127"/>
      <c r="G47" s="127"/>
    </row>
    <row r="48" spans="1:7" ht="75" x14ac:dyDescent="0.25">
      <c r="A48" s="230" t="s">
        <v>1141</v>
      </c>
      <c r="B48" s="85" t="s">
        <v>207</v>
      </c>
      <c r="C48" s="84" t="s">
        <v>399</v>
      </c>
      <c r="D48" s="95" t="s">
        <v>1391</v>
      </c>
      <c r="E48" s="95"/>
      <c r="F48" s="79" t="s">
        <v>1390</v>
      </c>
      <c r="G48" s="79" t="s">
        <v>1376</v>
      </c>
    </row>
    <row r="49" spans="1:7" ht="15" x14ac:dyDescent="0.25">
      <c r="A49" s="229" t="s">
        <v>1018</v>
      </c>
      <c r="B49" s="85" t="s">
        <v>207</v>
      </c>
      <c r="C49" s="84" t="s">
        <v>393</v>
      </c>
      <c r="D49" s="109" t="s">
        <v>1378</v>
      </c>
      <c r="E49" s="109" t="s">
        <v>1377</v>
      </c>
      <c r="F49" s="82"/>
      <c r="G49" s="111" t="s">
        <v>816</v>
      </c>
    </row>
    <row r="50" spans="1:7" ht="45" x14ac:dyDescent="0.2">
      <c r="A50" s="230" t="s">
        <v>1310</v>
      </c>
      <c r="B50" s="85" t="s">
        <v>207</v>
      </c>
      <c r="C50" s="84" t="s">
        <v>1509</v>
      </c>
      <c r="D50" s="266" t="s">
        <v>1506</v>
      </c>
      <c r="E50" s="266"/>
      <c r="F50" s="110"/>
      <c r="G50" s="110"/>
    </row>
    <row r="51" spans="1:7" ht="30" x14ac:dyDescent="0.25">
      <c r="A51" s="230" t="s">
        <v>1167</v>
      </c>
      <c r="B51" s="84" t="s">
        <v>811</v>
      </c>
      <c r="C51" s="84" t="s">
        <v>440</v>
      </c>
      <c r="D51" s="95" t="s">
        <v>1405</v>
      </c>
      <c r="E51" s="95"/>
      <c r="F51" s="79"/>
      <c r="G51" s="82"/>
    </row>
    <row r="52" spans="1:7" ht="45" x14ac:dyDescent="0.25">
      <c r="A52" s="230" t="s">
        <v>1168</v>
      </c>
      <c r="B52" s="84" t="s">
        <v>811</v>
      </c>
      <c r="C52" s="84" t="s">
        <v>814</v>
      </c>
      <c r="D52" s="95" t="s">
        <v>1404</v>
      </c>
      <c r="E52" s="95"/>
      <c r="F52" s="79"/>
      <c r="G52" s="82"/>
    </row>
    <row r="53" spans="1:7" ht="45" x14ac:dyDescent="0.25">
      <c r="A53" s="230" t="s">
        <v>1169</v>
      </c>
      <c r="B53" s="84" t="s">
        <v>811</v>
      </c>
      <c r="C53" s="84" t="s">
        <v>813</v>
      </c>
      <c r="D53" s="95" t="s">
        <v>812</v>
      </c>
      <c r="E53" s="95"/>
      <c r="F53" s="79"/>
      <c r="G53" s="82"/>
    </row>
    <row r="54" spans="1:7" ht="15" x14ac:dyDescent="0.25">
      <c r="A54" s="230" t="s">
        <v>1170</v>
      </c>
      <c r="B54" s="84" t="s">
        <v>811</v>
      </c>
      <c r="C54" s="84" t="s">
        <v>377</v>
      </c>
      <c r="D54" s="95" t="s">
        <v>1406</v>
      </c>
      <c r="E54" s="95"/>
      <c r="F54" s="79"/>
      <c r="G54" s="82"/>
    </row>
    <row r="55" spans="1:7" ht="15" x14ac:dyDescent="0.2">
      <c r="A55" s="127" t="s">
        <v>810</v>
      </c>
      <c r="B55" s="127"/>
      <c r="C55" s="127"/>
      <c r="D55" s="265"/>
      <c r="E55" s="265"/>
      <c r="F55" s="127"/>
      <c r="G55" s="127"/>
    </row>
    <row r="56" spans="1:7" ht="15" x14ac:dyDescent="0.25">
      <c r="A56" s="229" t="s">
        <v>809</v>
      </c>
      <c r="B56" s="84" t="s">
        <v>801</v>
      </c>
      <c r="C56" s="84" t="s">
        <v>808</v>
      </c>
      <c r="D56" s="109" t="s">
        <v>802</v>
      </c>
      <c r="E56" s="109"/>
      <c r="F56" s="82"/>
      <c r="G56" s="82"/>
    </row>
    <row r="57" spans="1:7" ht="15" x14ac:dyDescent="0.25">
      <c r="A57" s="229" t="s">
        <v>437</v>
      </c>
      <c r="B57" s="84" t="s">
        <v>432</v>
      </c>
      <c r="C57" s="84" t="s">
        <v>438</v>
      </c>
      <c r="D57" s="109" t="s">
        <v>807</v>
      </c>
      <c r="E57" s="109"/>
      <c r="F57" s="109"/>
      <c r="G57" s="82"/>
    </row>
    <row r="58" spans="1:7" ht="15" x14ac:dyDescent="0.25">
      <c r="A58" s="229" t="s">
        <v>806</v>
      </c>
      <c r="B58" s="84" t="s">
        <v>801</v>
      </c>
      <c r="C58" s="84" t="s">
        <v>805</v>
      </c>
      <c r="D58" s="109" t="s">
        <v>802</v>
      </c>
      <c r="E58" s="109"/>
      <c r="F58" s="82"/>
      <c r="G58" s="82"/>
    </row>
    <row r="59" spans="1:7" ht="15" x14ac:dyDescent="0.25">
      <c r="A59" s="229" t="s">
        <v>804</v>
      </c>
      <c r="B59" s="84" t="s">
        <v>801</v>
      </c>
      <c r="C59" s="84" t="s">
        <v>803</v>
      </c>
      <c r="D59" s="109" t="s">
        <v>802</v>
      </c>
      <c r="E59" s="109"/>
      <c r="F59" s="82"/>
      <c r="G59" s="82"/>
    </row>
    <row r="60" spans="1:7" ht="15" x14ac:dyDescent="0.25">
      <c r="A60" s="229" t="s">
        <v>430</v>
      </c>
      <c r="B60" s="84" t="s">
        <v>801</v>
      </c>
      <c r="C60" s="84" t="s">
        <v>431</v>
      </c>
      <c r="D60" s="95" t="s">
        <v>800</v>
      </c>
      <c r="E60" s="95"/>
      <c r="F60" s="79"/>
      <c r="G60" s="82"/>
    </row>
    <row r="61" spans="1:7" ht="15" x14ac:dyDescent="0.25">
      <c r="A61" s="229" t="s">
        <v>799</v>
      </c>
      <c r="B61" s="84" t="s">
        <v>432</v>
      </c>
      <c r="C61" s="84" t="s">
        <v>798</v>
      </c>
      <c r="D61" s="109" t="s">
        <v>789</v>
      </c>
      <c r="E61" s="109"/>
      <c r="F61" s="82"/>
      <c r="G61" s="82"/>
    </row>
    <row r="62" spans="1:7" ht="15" x14ac:dyDescent="0.25">
      <c r="A62" s="229" t="s">
        <v>797</v>
      </c>
      <c r="B62" s="84" t="s">
        <v>432</v>
      </c>
      <c r="C62" s="84" t="s">
        <v>796</v>
      </c>
      <c r="D62" s="109" t="s">
        <v>795</v>
      </c>
      <c r="E62" s="109"/>
      <c r="F62" s="82"/>
      <c r="G62" s="82"/>
    </row>
    <row r="63" spans="1:7" ht="15" x14ac:dyDescent="0.25">
      <c r="A63" s="229" t="s">
        <v>794</v>
      </c>
      <c r="B63" s="84" t="s">
        <v>432</v>
      </c>
      <c r="C63" s="84" t="s">
        <v>793</v>
      </c>
      <c r="D63" s="267" t="s">
        <v>792</v>
      </c>
      <c r="E63" s="267"/>
      <c r="F63" s="105"/>
      <c r="G63" s="82"/>
    </row>
    <row r="64" spans="1:7" ht="15" x14ac:dyDescent="0.25">
      <c r="A64" s="229" t="s">
        <v>791</v>
      </c>
      <c r="B64" s="84" t="s">
        <v>432</v>
      </c>
      <c r="C64" s="84" t="s">
        <v>790</v>
      </c>
      <c r="D64" s="109" t="s">
        <v>789</v>
      </c>
      <c r="E64" s="109"/>
      <c r="F64" s="82"/>
      <c r="G64" s="82"/>
    </row>
    <row r="65" spans="1:7" ht="45" x14ac:dyDescent="0.2">
      <c r="A65" s="230" t="s">
        <v>928</v>
      </c>
      <c r="B65" s="84" t="s">
        <v>788</v>
      </c>
      <c r="C65" s="84" t="s">
        <v>787</v>
      </c>
      <c r="D65" s="262" t="s">
        <v>786</v>
      </c>
      <c r="E65" s="262"/>
      <c r="F65" s="84"/>
      <c r="G65" s="84"/>
    </row>
    <row r="66" spans="1:7" ht="15" x14ac:dyDescent="0.2">
      <c r="A66" s="128" t="s">
        <v>785</v>
      </c>
      <c r="B66" s="128"/>
      <c r="C66" s="128"/>
      <c r="D66" s="268"/>
      <c r="E66" s="268"/>
      <c r="F66" s="128"/>
      <c r="G66" s="128"/>
    </row>
    <row r="67" spans="1:7" ht="60" x14ac:dyDescent="0.25">
      <c r="A67" s="238" t="s">
        <v>1171</v>
      </c>
      <c r="B67" s="108" t="s">
        <v>783</v>
      </c>
      <c r="C67" s="98" t="s">
        <v>784</v>
      </c>
      <c r="D67" s="257" t="s">
        <v>1389</v>
      </c>
      <c r="E67" s="257"/>
      <c r="F67" s="98"/>
      <c r="G67" s="82"/>
    </row>
    <row r="68" spans="1:7" ht="15" x14ac:dyDescent="0.25">
      <c r="A68" s="229" t="s">
        <v>1208</v>
      </c>
      <c r="B68" s="84" t="s">
        <v>783</v>
      </c>
      <c r="C68" s="84" t="s">
        <v>782</v>
      </c>
      <c r="D68" s="257" t="s">
        <v>1389</v>
      </c>
      <c r="E68" s="257"/>
      <c r="F68" s="98"/>
      <c r="G68" s="105"/>
    </row>
    <row r="69" spans="1:7" ht="45" x14ac:dyDescent="0.25">
      <c r="A69" s="229" t="s">
        <v>1172</v>
      </c>
      <c r="B69" s="84" t="s">
        <v>779</v>
      </c>
      <c r="C69" s="85" t="s">
        <v>781</v>
      </c>
      <c r="D69" s="263" t="s">
        <v>1388</v>
      </c>
      <c r="E69" s="263"/>
      <c r="F69" s="85"/>
      <c r="G69" s="105"/>
    </row>
    <row r="70" spans="1:7" ht="15" x14ac:dyDescent="0.25">
      <c r="A70" s="233" t="s">
        <v>780</v>
      </c>
      <c r="B70" s="107" t="s">
        <v>779</v>
      </c>
      <c r="C70" s="107" t="s">
        <v>778</v>
      </c>
      <c r="D70" s="263" t="s">
        <v>1388</v>
      </c>
      <c r="E70" s="263"/>
      <c r="F70" s="85"/>
      <c r="G70" s="105"/>
    </row>
    <row r="71" spans="1:7" ht="45" x14ac:dyDescent="0.25">
      <c r="A71" s="233" t="s">
        <v>1203</v>
      </c>
      <c r="B71" s="84" t="s">
        <v>771</v>
      </c>
      <c r="C71" s="85" t="s">
        <v>777</v>
      </c>
      <c r="D71" s="269" t="s">
        <v>1387</v>
      </c>
      <c r="E71" s="269"/>
      <c r="F71" s="106"/>
      <c r="G71" s="105"/>
    </row>
    <row r="72" spans="1:7" ht="45" x14ac:dyDescent="0.25">
      <c r="A72" s="229" t="s">
        <v>1192</v>
      </c>
      <c r="B72" s="84" t="s">
        <v>771</v>
      </c>
      <c r="C72" s="85" t="s">
        <v>776</v>
      </c>
      <c r="D72" s="263" t="s">
        <v>1386</v>
      </c>
      <c r="E72" s="263"/>
      <c r="F72" s="85"/>
      <c r="G72" s="105"/>
    </row>
    <row r="73" spans="1:7" ht="45" x14ac:dyDescent="0.25">
      <c r="A73" s="229" t="s">
        <v>1191</v>
      </c>
      <c r="B73" s="84" t="s">
        <v>771</v>
      </c>
      <c r="C73" s="85" t="s">
        <v>775</v>
      </c>
      <c r="D73" s="263" t="s">
        <v>1386</v>
      </c>
      <c r="E73" s="263"/>
      <c r="F73" s="85"/>
      <c r="G73" s="82"/>
    </row>
    <row r="74" spans="1:7" ht="30" x14ac:dyDescent="0.25">
      <c r="A74" s="229" t="s">
        <v>774</v>
      </c>
      <c r="B74" s="84" t="s">
        <v>768</v>
      </c>
      <c r="C74" s="85" t="s">
        <v>773</v>
      </c>
      <c r="D74" s="263" t="s">
        <v>1386</v>
      </c>
      <c r="E74" s="263"/>
      <c r="F74" s="85"/>
      <c r="G74" s="82"/>
    </row>
    <row r="75" spans="1:7" ht="15" x14ac:dyDescent="0.25">
      <c r="A75" s="229" t="s">
        <v>772</v>
      </c>
      <c r="B75" s="84" t="s">
        <v>771</v>
      </c>
      <c r="C75" s="84" t="s">
        <v>770</v>
      </c>
      <c r="D75" s="263" t="s">
        <v>1386</v>
      </c>
      <c r="E75" s="263"/>
      <c r="F75" s="85"/>
      <c r="G75" s="82"/>
    </row>
    <row r="76" spans="1:7" ht="30" x14ac:dyDescent="0.25">
      <c r="A76" s="229" t="s">
        <v>769</v>
      </c>
      <c r="B76" s="84" t="s">
        <v>768</v>
      </c>
      <c r="C76" s="85" t="s">
        <v>767</v>
      </c>
      <c r="D76" s="263" t="s">
        <v>1386</v>
      </c>
      <c r="E76" s="263"/>
      <c r="F76" s="85"/>
      <c r="G76" s="82"/>
    </row>
    <row r="77" spans="1:7" ht="15" x14ac:dyDescent="0.25">
      <c r="A77" s="230" t="s">
        <v>1145</v>
      </c>
      <c r="B77" s="84" t="s">
        <v>766</v>
      </c>
      <c r="C77" s="84" t="s">
        <v>765</v>
      </c>
      <c r="D77" s="263" t="s">
        <v>1380</v>
      </c>
      <c r="E77" s="263" t="s">
        <v>1379</v>
      </c>
      <c r="F77" s="85"/>
      <c r="G77" s="82"/>
    </row>
    <row r="78" spans="1:7" ht="15" x14ac:dyDescent="0.2">
      <c r="A78" s="128" t="s">
        <v>220</v>
      </c>
      <c r="B78" s="128"/>
      <c r="C78" s="128"/>
      <c r="D78" s="268"/>
      <c r="E78" s="268"/>
      <c r="F78" s="128"/>
      <c r="G78" s="128"/>
    </row>
    <row r="79" spans="1:7" ht="15" x14ac:dyDescent="0.25">
      <c r="A79" s="229" t="s">
        <v>764</v>
      </c>
      <c r="B79" s="84" t="s">
        <v>751</v>
      </c>
      <c r="C79" s="84" t="s">
        <v>763</v>
      </c>
      <c r="D79" s="109">
        <v>104</v>
      </c>
      <c r="E79" s="109"/>
      <c r="F79" s="82"/>
      <c r="G79" s="82"/>
    </row>
    <row r="80" spans="1:7" ht="15" x14ac:dyDescent="0.25">
      <c r="A80" s="229" t="s">
        <v>1173</v>
      </c>
      <c r="B80" s="84" t="s">
        <v>220</v>
      </c>
      <c r="C80" s="84" t="s">
        <v>762</v>
      </c>
      <c r="D80" s="109">
        <v>509</v>
      </c>
      <c r="E80" s="109">
        <v>406</v>
      </c>
      <c r="F80" s="82"/>
      <c r="G80" s="82"/>
    </row>
    <row r="81" spans="1:7" ht="15" x14ac:dyDescent="0.25">
      <c r="A81" s="230" t="s">
        <v>1174</v>
      </c>
      <c r="B81" s="84" t="s">
        <v>220</v>
      </c>
      <c r="C81" s="84" t="s">
        <v>760</v>
      </c>
      <c r="D81" s="95" t="s">
        <v>1385</v>
      </c>
      <c r="E81" s="95" t="s">
        <v>1384</v>
      </c>
      <c r="F81" s="79"/>
      <c r="G81" s="79" t="s">
        <v>929</v>
      </c>
    </row>
    <row r="82" spans="1:7" ht="15" x14ac:dyDescent="0.25">
      <c r="A82" s="230" t="s">
        <v>761</v>
      </c>
      <c r="B82" s="84" t="s">
        <v>220</v>
      </c>
      <c r="C82" s="84" t="s">
        <v>760</v>
      </c>
      <c r="D82" s="95" t="s">
        <v>1381</v>
      </c>
      <c r="E82" s="95">
        <v>503</v>
      </c>
      <c r="F82" s="79"/>
      <c r="G82" s="82"/>
    </row>
    <row r="83" spans="1:7" ht="30" x14ac:dyDescent="0.25">
      <c r="A83" s="230" t="s">
        <v>1175</v>
      </c>
      <c r="B83" s="84" t="s">
        <v>220</v>
      </c>
      <c r="C83" s="84" t="s">
        <v>759</v>
      </c>
      <c r="D83" s="95">
        <v>106</v>
      </c>
      <c r="E83" s="95">
        <v>402</v>
      </c>
      <c r="F83" s="79"/>
      <c r="G83" s="82"/>
    </row>
    <row r="84" spans="1:7" ht="15" x14ac:dyDescent="0.25">
      <c r="A84" s="229" t="s">
        <v>1176</v>
      </c>
      <c r="B84" s="84" t="s">
        <v>220</v>
      </c>
      <c r="C84" s="84" t="s">
        <v>758</v>
      </c>
      <c r="D84" s="95">
        <v>105</v>
      </c>
      <c r="E84" s="95">
        <v>402</v>
      </c>
      <c r="F84" s="79"/>
      <c r="G84" s="82"/>
    </row>
    <row r="85" spans="1:7" ht="15" x14ac:dyDescent="0.25">
      <c r="A85" s="229" t="s">
        <v>471</v>
      </c>
      <c r="B85" s="84" t="s">
        <v>220</v>
      </c>
      <c r="C85" s="84" t="s">
        <v>472</v>
      </c>
      <c r="D85" s="95" t="s">
        <v>754</v>
      </c>
      <c r="E85" s="95">
        <v>503</v>
      </c>
      <c r="F85" s="79"/>
      <c r="G85" s="82"/>
    </row>
    <row r="86" spans="1:7" ht="15" x14ac:dyDescent="0.25">
      <c r="A86" s="230" t="s">
        <v>757</v>
      </c>
      <c r="B86" s="84" t="s">
        <v>220</v>
      </c>
      <c r="C86" s="84" t="s">
        <v>472</v>
      </c>
      <c r="D86" s="95" t="s">
        <v>754</v>
      </c>
      <c r="E86" s="95">
        <v>503</v>
      </c>
      <c r="F86" s="79"/>
      <c r="G86" s="82"/>
    </row>
    <row r="87" spans="1:7" ht="15" x14ac:dyDescent="0.25">
      <c r="A87" s="230" t="s">
        <v>756</v>
      </c>
      <c r="B87" s="84" t="s">
        <v>220</v>
      </c>
      <c r="C87" s="84" t="s">
        <v>472</v>
      </c>
      <c r="D87" s="260" t="s">
        <v>1383</v>
      </c>
      <c r="E87" s="260" t="s">
        <v>1382</v>
      </c>
      <c r="F87" s="104"/>
      <c r="G87" s="82"/>
    </row>
    <row r="88" spans="1:7" ht="15" x14ac:dyDescent="0.25">
      <c r="A88" s="230" t="s">
        <v>755</v>
      </c>
      <c r="B88" s="84" t="s">
        <v>220</v>
      </c>
      <c r="C88" s="84" t="s">
        <v>472</v>
      </c>
      <c r="D88" s="261" t="s">
        <v>754</v>
      </c>
      <c r="E88" s="261"/>
      <c r="F88" s="103"/>
      <c r="G88" s="82"/>
    </row>
    <row r="89" spans="1:7" ht="75" x14ac:dyDescent="0.25">
      <c r="A89" s="230" t="s">
        <v>1177</v>
      </c>
      <c r="B89" s="84" t="s">
        <v>751</v>
      </c>
      <c r="C89" s="84" t="s">
        <v>753</v>
      </c>
      <c r="D89" s="257">
        <v>7.51</v>
      </c>
      <c r="E89" s="257" t="s">
        <v>1407</v>
      </c>
      <c r="F89" s="102"/>
      <c r="G89" s="79" t="s">
        <v>752</v>
      </c>
    </row>
    <row r="90" spans="1:7" ht="30" x14ac:dyDescent="0.25">
      <c r="A90" s="230" t="s">
        <v>1178</v>
      </c>
      <c r="B90" s="84" t="s">
        <v>751</v>
      </c>
      <c r="C90" s="84" t="s">
        <v>750</v>
      </c>
      <c r="D90" s="95" t="s">
        <v>1505</v>
      </c>
      <c r="E90" s="95" t="s">
        <v>1409</v>
      </c>
      <c r="F90" s="79"/>
      <c r="G90" s="82"/>
    </row>
    <row r="91" spans="1:7" ht="30" x14ac:dyDescent="0.25">
      <c r="A91" s="230" t="s">
        <v>1179</v>
      </c>
      <c r="B91" s="84" t="s">
        <v>220</v>
      </c>
      <c r="C91" s="84" t="s">
        <v>749</v>
      </c>
      <c r="D91" s="95" t="s">
        <v>1408</v>
      </c>
      <c r="E91" s="95" t="s">
        <v>1410</v>
      </c>
      <c r="F91" s="79"/>
      <c r="G91" s="82"/>
    </row>
    <row r="92" spans="1:7" ht="15" x14ac:dyDescent="0.25">
      <c r="A92" s="230" t="s">
        <v>748</v>
      </c>
      <c r="B92" s="84" t="s">
        <v>220</v>
      </c>
      <c r="C92" s="84" t="s">
        <v>747</v>
      </c>
      <c r="D92" s="270" t="s">
        <v>1412</v>
      </c>
      <c r="E92" s="270" t="s">
        <v>1411</v>
      </c>
      <c r="F92" s="101"/>
      <c r="G92" s="82"/>
    </row>
    <row r="93" spans="1:7" ht="15" x14ac:dyDescent="0.25">
      <c r="A93" s="229" t="s">
        <v>746</v>
      </c>
      <c r="B93" s="84" t="s">
        <v>220</v>
      </c>
      <c r="C93" s="84" t="s">
        <v>745</v>
      </c>
      <c r="D93" s="109">
        <v>108</v>
      </c>
      <c r="E93" s="109"/>
      <c r="F93" s="100"/>
      <c r="G93" s="82"/>
    </row>
    <row r="94" spans="1:7" x14ac:dyDescent="0.2">
      <c r="A94" s="239" t="s">
        <v>1194</v>
      </c>
      <c r="B94" s="154" t="s">
        <v>220</v>
      </c>
      <c r="C94" s="144" t="s">
        <v>1139</v>
      </c>
      <c r="D94" s="155" t="s">
        <v>1136</v>
      </c>
      <c r="E94" s="155"/>
      <c r="F94" s="155"/>
    </row>
    <row r="95" spans="1:7" ht="15" x14ac:dyDescent="0.25">
      <c r="A95" s="229" t="s">
        <v>1180</v>
      </c>
      <c r="B95" s="84" t="s">
        <v>220</v>
      </c>
      <c r="C95" s="94" t="s">
        <v>1193</v>
      </c>
      <c r="D95" s="271" t="s">
        <v>744</v>
      </c>
      <c r="E95" s="271"/>
      <c r="F95" s="93"/>
      <c r="G95" s="82"/>
    </row>
    <row r="96" spans="1:7" ht="15" x14ac:dyDescent="0.2">
      <c r="A96" s="128" t="s">
        <v>743</v>
      </c>
      <c r="B96" s="128"/>
      <c r="C96" s="128"/>
      <c r="D96" s="268"/>
      <c r="E96" s="268"/>
      <c r="F96" s="128"/>
      <c r="G96" s="128"/>
    </row>
    <row r="97" spans="1:7" ht="15" x14ac:dyDescent="0.25">
      <c r="A97" s="230" t="s">
        <v>1181</v>
      </c>
      <c r="B97" s="84" t="s">
        <v>742</v>
      </c>
      <c r="C97" s="84" t="s">
        <v>416</v>
      </c>
      <c r="D97" s="95" t="s">
        <v>1414</v>
      </c>
      <c r="E97" s="95" t="s">
        <v>1413</v>
      </c>
      <c r="F97" s="79"/>
      <c r="G97" s="82"/>
    </row>
    <row r="98" spans="1:7" ht="75" x14ac:dyDescent="0.25">
      <c r="A98" s="230" t="s">
        <v>1146</v>
      </c>
      <c r="B98" s="85" t="s">
        <v>406</v>
      </c>
      <c r="C98" s="85" t="s">
        <v>1219</v>
      </c>
      <c r="D98" s="263" t="s">
        <v>1416</v>
      </c>
      <c r="E98" s="263" t="s">
        <v>1415</v>
      </c>
      <c r="F98" s="85"/>
      <c r="G98" s="82"/>
    </row>
    <row r="99" spans="1:7" ht="30" x14ac:dyDescent="0.25">
      <c r="A99" s="230" t="s">
        <v>930</v>
      </c>
      <c r="B99" s="85" t="s">
        <v>406</v>
      </c>
      <c r="C99" s="84" t="s">
        <v>615</v>
      </c>
      <c r="D99" s="95" t="s">
        <v>1418</v>
      </c>
      <c r="E99" s="95" t="s">
        <v>1417</v>
      </c>
      <c r="F99" s="79"/>
      <c r="G99" s="82"/>
    </row>
    <row r="100" spans="1:7" ht="30" x14ac:dyDescent="0.25">
      <c r="A100" s="230" t="s">
        <v>1182</v>
      </c>
      <c r="B100" s="85" t="s">
        <v>742</v>
      </c>
      <c r="C100" s="84" t="s">
        <v>741</v>
      </c>
      <c r="D100" s="95" t="s">
        <v>1420</v>
      </c>
      <c r="E100" s="95" t="s">
        <v>1419</v>
      </c>
      <c r="F100" s="99"/>
      <c r="G100" s="82"/>
    </row>
    <row r="101" spans="1:7" ht="30" x14ac:dyDescent="0.25">
      <c r="A101" s="230" t="s">
        <v>1195</v>
      </c>
      <c r="B101" s="85" t="s">
        <v>740</v>
      </c>
      <c r="C101" s="156" t="s">
        <v>1140</v>
      </c>
      <c r="D101" s="95" t="s">
        <v>1429</v>
      </c>
      <c r="E101" s="95" t="s">
        <v>1421</v>
      </c>
      <c r="F101" s="99"/>
      <c r="G101" s="82"/>
    </row>
    <row r="102" spans="1:7" ht="15" x14ac:dyDescent="0.2">
      <c r="A102" s="127" t="s">
        <v>739</v>
      </c>
      <c r="B102" s="127"/>
      <c r="C102" s="127"/>
      <c r="D102" s="265"/>
      <c r="E102" s="265"/>
      <c r="F102" s="127"/>
      <c r="G102" s="127"/>
    </row>
    <row r="103" spans="1:7" ht="30" x14ac:dyDescent="0.25">
      <c r="A103" s="230" t="s">
        <v>1183</v>
      </c>
      <c r="B103" s="84" t="s">
        <v>738</v>
      </c>
      <c r="C103" s="85" t="s">
        <v>737</v>
      </c>
      <c r="D103" s="95" t="s">
        <v>1504</v>
      </c>
      <c r="E103" s="95"/>
      <c r="F103" s="99"/>
      <c r="G103" s="82"/>
    </row>
    <row r="104" spans="1:7" ht="15" x14ac:dyDescent="0.2">
      <c r="A104" s="127" t="s">
        <v>736</v>
      </c>
      <c r="B104" s="127"/>
      <c r="C104" s="127"/>
      <c r="D104" s="265"/>
      <c r="E104" s="265"/>
      <c r="F104" s="127"/>
      <c r="G104" s="127"/>
    </row>
    <row r="105" spans="1:7" ht="15" x14ac:dyDescent="0.2">
      <c r="A105" s="232" t="s">
        <v>626</v>
      </c>
      <c r="B105" s="98" t="s">
        <v>489</v>
      </c>
      <c r="C105" s="98" t="s">
        <v>735</v>
      </c>
      <c r="D105" s="97" t="s">
        <v>734</v>
      </c>
      <c r="E105" s="97"/>
      <c r="F105" s="97"/>
      <c r="G105" s="96"/>
    </row>
    <row r="106" spans="1:7" ht="30" x14ac:dyDescent="0.25">
      <c r="A106" s="230" t="s">
        <v>1184</v>
      </c>
      <c r="B106" s="84" t="s">
        <v>489</v>
      </c>
      <c r="C106" s="84" t="s">
        <v>1265</v>
      </c>
      <c r="D106" s="95" t="s">
        <v>1422</v>
      </c>
      <c r="E106" s="95" t="s">
        <v>1427</v>
      </c>
      <c r="F106" s="79"/>
      <c r="G106" s="82"/>
    </row>
    <row r="107" spans="1:7" ht="15" x14ac:dyDescent="0.25">
      <c r="A107" s="230" t="s">
        <v>732</v>
      </c>
      <c r="B107" s="84" t="s">
        <v>489</v>
      </c>
      <c r="C107" s="84" t="s">
        <v>731</v>
      </c>
      <c r="D107" s="95" t="s">
        <v>730</v>
      </c>
      <c r="E107" s="95"/>
      <c r="F107" s="95"/>
      <c r="G107" s="82"/>
    </row>
    <row r="108" spans="1:7" ht="15" x14ac:dyDescent="0.25">
      <c r="A108" s="240" t="s">
        <v>1255</v>
      </c>
      <c r="B108" s="84" t="s">
        <v>489</v>
      </c>
      <c r="C108" s="84" t="s">
        <v>728</v>
      </c>
      <c r="D108" s="271" t="s">
        <v>1423</v>
      </c>
      <c r="E108" s="271"/>
      <c r="F108" s="93"/>
      <c r="G108" s="82"/>
    </row>
    <row r="109" spans="1:7" ht="15" x14ac:dyDescent="0.25">
      <c r="A109" s="241"/>
      <c r="B109" s="92"/>
      <c r="C109" s="92"/>
      <c r="D109" s="272"/>
      <c r="E109" s="272"/>
      <c r="F109" s="91"/>
      <c r="G109" s="90"/>
    </row>
    <row r="110" spans="1:7" ht="15" x14ac:dyDescent="0.2">
      <c r="A110" s="129" t="s">
        <v>727</v>
      </c>
      <c r="B110" s="129"/>
      <c r="C110" s="129"/>
      <c r="D110" s="273"/>
      <c r="E110" s="273"/>
      <c r="F110" s="129"/>
      <c r="G110" s="129"/>
    </row>
    <row r="111" spans="1:7" ht="15" x14ac:dyDescent="0.25">
      <c r="A111" s="242" t="s">
        <v>1243</v>
      </c>
      <c r="B111" s="89" t="s">
        <v>727</v>
      </c>
      <c r="C111" s="88" t="s">
        <v>726</v>
      </c>
      <c r="D111" s="274" t="s">
        <v>725</v>
      </c>
      <c r="E111" s="274"/>
      <c r="F111" s="87"/>
      <c r="G111" s="87"/>
    </row>
    <row r="112" spans="1:7" ht="15" x14ac:dyDescent="0.2">
      <c r="A112" s="127" t="s">
        <v>1185</v>
      </c>
      <c r="B112" s="127"/>
      <c r="C112" s="127"/>
      <c r="D112" s="265"/>
      <c r="E112" s="265"/>
      <c r="F112" s="127"/>
      <c r="G112" s="127"/>
    </row>
    <row r="113" spans="1:7" x14ac:dyDescent="0.2">
      <c r="A113" s="243" t="s">
        <v>498</v>
      </c>
      <c r="B113" s="78" t="s">
        <v>507</v>
      </c>
      <c r="C113" s="77" t="s">
        <v>499</v>
      </c>
      <c r="D113" s="264" t="s">
        <v>931</v>
      </c>
      <c r="E113" s="264"/>
      <c r="F113" s="75"/>
      <c r="G113" s="75"/>
    </row>
    <row r="114" spans="1:7" ht="64.5" x14ac:dyDescent="0.25">
      <c r="A114" s="230" t="s">
        <v>1432</v>
      </c>
      <c r="B114" s="85" t="s">
        <v>248</v>
      </c>
      <c r="C114" s="84" t="s">
        <v>367</v>
      </c>
      <c r="D114" s="95" t="s">
        <v>1428</v>
      </c>
      <c r="E114" s="284"/>
      <c r="F114" s="254" t="s">
        <v>1424</v>
      </c>
      <c r="G114" s="86" t="s">
        <v>933</v>
      </c>
    </row>
    <row r="115" spans="1:7" ht="64.5" x14ac:dyDescent="0.25">
      <c r="A115" s="230" t="s">
        <v>724</v>
      </c>
      <c r="B115" s="85" t="s">
        <v>248</v>
      </c>
      <c r="C115" s="84" t="s">
        <v>367</v>
      </c>
      <c r="D115" s="285" t="s">
        <v>1428</v>
      </c>
      <c r="E115" s="95"/>
      <c r="F115" s="95" t="s">
        <v>1425</v>
      </c>
      <c r="G115" s="76" t="s">
        <v>934</v>
      </c>
    </row>
    <row r="116" spans="1:7" ht="64.5" x14ac:dyDescent="0.25">
      <c r="A116" s="229" t="s">
        <v>723</v>
      </c>
      <c r="B116" s="85" t="s">
        <v>248</v>
      </c>
      <c r="C116" s="84" t="s">
        <v>367</v>
      </c>
      <c r="D116" s="95" t="s">
        <v>935</v>
      </c>
      <c r="E116" s="95"/>
      <c r="F116" s="79"/>
      <c r="G116" s="83" t="s">
        <v>936</v>
      </c>
    </row>
    <row r="117" spans="1:7" x14ac:dyDescent="0.2">
      <c r="A117" s="244" t="s">
        <v>1030</v>
      </c>
      <c r="B117" t="s">
        <v>248</v>
      </c>
      <c r="C117" t="s">
        <v>657</v>
      </c>
      <c r="D117" s="275" t="s">
        <v>1099</v>
      </c>
      <c r="E117" s="275"/>
      <c r="F117" s="176"/>
      <c r="G117" s="147"/>
    </row>
    <row r="118" spans="1:7" ht="15" x14ac:dyDescent="0.2">
      <c r="A118" s="130" t="s">
        <v>722</v>
      </c>
      <c r="B118" s="131"/>
      <c r="C118" s="131"/>
      <c r="D118" s="276"/>
      <c r="E118" s="276"/>
      <c r="F118" s="131"/>
      <c r="G118" s="132"/>
    </row>
    <row r="119" spans="1:7" ht="15" x14ac:dyDescent="0.25">
      <c r="A119" s="243" t="s">
        <v>389</v>
      </c>
      <c r="B119" s="78" t="s">
        <v>721</v>
      </c>
      <c r="C119" s="77" t="s">
        <v>720</v>
      </c>
      <c r="D119" s="109" t="s">
        <v>719</v>
      </c>
      <c r="E119" s="109"/>
      <c r="F119" s="82"/>
      <c r="G119" s="75"/>
    </row>
    <row r="120" spans="1:7" ht="15" x14ac:dyDescent="0.2">
      <c r="A120" s="130" t="s">
        <v>718</v>
      </c>
      <c r="B120" s="131"/>
      <c r="C120" s="131"/>
      <c r="D120" s="276"/>
      <c r="E120" s="276"/>
      <c r="F120" s="131"/>
      <c r="G120" s="132"/>
    </row>
    <row r="121" spans="1:7" x14ac:dyDescent="0.2">
      <c r="A121" s="245" t="s">
        <v>1197</v>
      </c>
      <c r="B121" s="81" t="s">
        <v>384</v>
      </c>
      <c r="C121" s="81" t="s">
        <v>1507</v>
      </c>
      <c r="D121" s="286" t="s">
        <v>1500</v>
      </c>
      <c r="E121" s="277"/>
      <c r="F121" s="83"/>
      <c r="G121" s="80"/>
    </row>
    <row r="122" spans="1:7" ht="15" x14ac:dyDescent="0.2">
      <c r="A122" s="130" t="s">
        <v>717</v>
      </c>
      <c r="B122" s="131"/>
      <c r="C122" s="131"/>
      <c r="D122" s="276"/>
      <c r="E122" s="276"/>
      <c r="F122" s="131"/>
      <c r="G122" s="132"/>
    </row>
    <row r="123" spans="1:7" ht="30" x14ac:dyDescent="0.25">
      <c r="A123" s="246" t="s">
        <v>1186</v>
      </c>
      <c r="B123" s="77" t="s">
        <v>714</v>
      </c>
      <c r="C123" s="77" t="s">
        <v>713</v>
      </c>
      <c r="D123" s="95" t="s">
        <v>1501</v>
      </c>
      <c r="E123" s="95"/>
      <c r="F123" s="79"/>
      <c r="G123" s="75" t="s">
        <v>716</v>
      </c>
    </row>
    <row r="124" spans="1:7" ht="25.5" x14ac:dyDescent="0.2">
      <c r="A124" s="246" t="s">
        <v>1186</v>
      </c>
      <c r="B124" s="77" t="s">
        <v>714</v>
      </c>
      <c r="C124" s="77" t="s">
        <v>713</v>
      </c>
      <c r="D124" s="278" t="s">
        <v>1502</v>
      </c>
      <c r="E124" s="278"/>
      <c r="F124" s="76"/>
      <c r="G124" s="75" t="s">
        <v>715</v>
      </c>
    </row>
    <row r="125" spans="1:7" ht="25.5" x14ac:dyDescent="0.2">
      <c r="A125" s="246" t="s">
        <v>1186</v>
      </c>
      <c r="B125" s="77" t="s">
        <v>714</v>
      </c>
      <c r="C125" s="77" t="s">
        <v>713</v>
      </c>
      <c r="D125" s="278" t="s">
        <v>1503</v>
      </c>
      <c r="E125" s="278"/>
      <c r="F125" s="76"/>
      <c r="G125" s="75" t="s">
        <v>712</v>
      </c>
    </row>
    <row r="126" spans="1:7" x14ac:dyDescent="0.2">
      <c r="A126" s="305" t="s">
        <v>530</v>
      </c>
      <c r="B126" s="305"/>
      <c r="C126" s="305"/>
      <c r="D126" s="305"/>
      <c r="E126" s="305"/>
      <c r="F126" s="305"/>
      <c r="G126" s="305"/>
    </row>
    <row r="127" spans="1:7" s="157" customFormat="1" ht="25.5" x14ac:dyDescent="0.2">
      <c r="A127" s="247"/>
      <c r="B127" s="158" t="s">
        <v>1112</v>
      </c>
      <c r="C127" s="159" t="s">
        <v>1113</v>
      </c>
      <c r="D127" s="279" t="s">
        <v>1122</v>
      </c>
      <c r="E127" s="279"/>
      <c r="F127" s="160"/>
      <c r="G127" s="161" t="s">
        <v>1111</v>
      </c>
    </row>
    <row r="128" spans="1:7" s="157" customFormat="1" ht="32.25" customHeight="1" x14ac:dyDescent="0.2">
      <c r="A128" s="247"/>
      <c r="B128" s="158" t="s">
        <v>1112</v>
      </c>
      <c r="C128" s="162" t="s">
        <v>1115</v>
      </c>
      <c r="D128" s="279" t="s">
        <v>1122</v>
      </c>
      <c r="E128" s="279"/>
      <c r="F128" s="160"/>
      <c r="G128" s="161" t="s">
        <v>1114</v>
      </c>
    </row>
    <row r="129" spans="1:7" s="157" customFormat="1" ht="38.25" x14ac:dyDescent="0.2">
      <c r="A129" s="247"/>
      <c r="B129" s="158" t="s">
        <v>207</v>
      </c>
      <c r="C129" s="159" t="s">
        <v>399</v>
      </c>
      <c r="D129" s="280" t="s">
        <v>1117</v>
      </c>
      <c r="E129" s="280"/>
      <c r="F129" s="163"/>
      <c r="G129" s="161" t="s">
        <v>1116</v>
      </c>
    </row>
    <row r="130" spans="1:7" s="157" customFormat="1" ht="25.5" x14ac:dyDescent="0.2">
      <c r="A130" s="247"/>
      <c r="B130" s="158" t="s">
        <v>1112</v>
      </c>
      <c r="C130" s="162" t="s">
        <v>1119</v>
      </c>
      <c r="D130" s="280" t="s">
        <v>1120</v>
      </c>
      <c r="E130" s="280"/>
      <c r="F130" s="163"/>
      <c r="G130" s="161" t="s">
        <v>1118</v>
      </c>
    </row>
    <row r="131" spans="1:7" s="157" customFormat="1" ht="25.5" x14ac:dyDescent="0.2">
      <c r="A131" s="247"/>
      <c r="B131" s="158" t="s">
        <v>785</v>
      </c>
      <c r="C131" s="163" t="s">
        <v>1123</v>
      </c>
      <c r="D131" s="280" t="s">
        <v>1131</v>
      </c>
      <c r="E131" s="280"/>
      <c r="F131" s="163"/>
      <c r="G131" s="161" t="s">
        <v>1121</v>
      </c>
    </row>
    <row r="132" spans="1:7" s="157" customFormat="1" x14ac:dyDescent="0.2">
      <c r="A132" s="247"/>
      <c r="B132" s="158" t="s">
        <v>860</v>
      </c>
      <c r="C132" s="164" t="s">
        <v>482</v>
      </c>
      <c r="D132" s="281">
        <v>703</v>
      </c>
      <c r="E132" s="281"/>
      <c r="F132" s="165"/>
      <c r="G132" s="161" t="s">
        <v>1124</v>
      </c>
    </row>
    <row r="133" spans="1:7" s="157" customFormat="1" x14ac:dyDescent="0.2">
      <c r="A133" s="247"/>
      <c r="B133" s="158" t="s">
        <v>207</v>
      </c>
      <c r="C133" s="164" t="s">
        <v>815</v>
      </c>
      <c r="D133" s="280" t="s">
        <v>1126</v>
      </c>
      <c r="E133" s="280"/>
      <c r="F133" s="163"/>
      <c r="G133" s="161" t="s">
        <v>1125</v>
      </c>
    </row>
    <row r="134" spans="1:7" s="157" customFormat="1" ht="25.5" x14ac:dyDescent="0.2">
      <c r="A134" s="247"/>
      <c r="B134" s="158" t="s">
        <v>739</v>
      </c>
      <c r="C134" s="164" t="s">
        <v>494</v>
      </c>
      <c r="D134" s="280" t="s">
        <v>1127</v>
      </c>
      <c r="E134" s="280"/>
      <c r="F134" s="163"/>
      <c r="G134" s="161" t="s">
        <v>1128</v>
      </c>
    </row>
    <row r="135" spans="1:7" s="157" customFormat="1" x14ac:dyDescent="0.2">
      <c r="A135" s="247"/>
      <c r="B135" s="158" t="s">
        <v>860</v>
      </c>
      <c r="C135" s="163" t="s">
        <v>1190</v>
      </c>
      <c r="D135" s="282">
        <v>703</v>
      </c>
      <c r="E135" s="282"/>
      <c r="F135" s="166"/>
      <c r="G135" s="161" t="s">
        <v>1129</v>
      </c>
    </row>
    <row r="136" spans="1:7" s="157" customFormat="1" ht="25.5" x14ac:dyDescent="0.2">
      <c r="A136" s="247"/>
      <c r="B136" s="158" t="s">
        <v>785</v>
      </c>
      <c r="C136" s="163" t="s">
        <v>1123</v>
      </c>
      <c r="D136" s="280" t="s">
        <v>1131</v>
      </c>
      <c r="E136" s="280"/>
      <c r="F136" s="163"/>
      <c r="G136" s="161" t="s">
        <v>1130</v>
      </c>
    </row>
    <row r="137" spans="1:7" s="157" customFormat="1" x14ac:dyDescent="0.2">
      <c r="A137" s="247"/>
      <c r="B137" s="159" t="s">
        <v>860</v>
      </c>
      <c r="C137" s="164" t="s">
        <v>461</v>
      </c>
      <c r="D137" s="281">
        <v>222</v>
      </c>
      <c r="E137" s="281"/>
      <c r="F137" s="165"/>
      <c r="G137" s="161" t="s">
        <v>1023</v>
      </c>
    </row>
    <row r="138" spans="1:7" s="157" customFormat="1" x14ac:dyDescent="0.2">
      <c r="A138" s="247"/>
      <c r="B138" s="159" t="s">
        <v>860</v>
      </c>
      <c r="C138" s="164" t="s">
        <v>374</v>
      </c>
      <c r="D138" s="280" t="s">
        <v>1132</v>
      </c>
      <c r="E138" s="280"/>
      <c r="F138" s="163"/>
      <c r="G138" s="161" t="s">
        <v>373</v>
      </c>
    </row>
    <row r="139" spans="1:7" s="157" customFormat="1" ht="25.5" x14ac:dyDescent="0.2">
      <c r="A139" s="247"/>
      <c r="B139" s="159" t="s">
        <v>785</v>
      </c>
      <c r="C139" s="164" t="s">
        <v>1133</v>
      </c>
      <c r="D139" s="280" t="s">
        <v>1134</v>
      </c>
      <c r="E139" s="280"/>
      <c r="F139" s="163"/>
      <c r="G139" s="161" t="s">
        <v>1135</v>
      </c>
    </row>
    <row r="140" spans="1:7" s="157" customFormat="1" x14ac:dyDescent="0.2">
      <c r="A140" s="247"/>
      <c r="B140" s="164" t="s">
        <v>220</v>
      </c>
      <c r="C140" s="157" t="s">
        <v>1139</v>
      </c>
      <c r="D140" s="167" t="s">
        <v>1136</v>
      </c>
      <c r="E140" s="167"/>
      <c r="F140" s="167"/>
      <c r="G140" s="162" t="s">
        <v>1138</v>
      </c>
    </row>
    <row r="141" spans="1:7" s="157" customFormat="1" x14ac:dyDescent="0.2">
      <c r="A141" s="247"/>
      <c r="B141" s="159" t="s">
        <v>207</v>
      </c>
      <c r="C141" s="164" t="s">
        <v>367</v>
      </c>
      <c r="D141" s="280" t="s">
        <v>932</v>
      </c>
      <c r="E141" s="280"/>
      <c r="F141" s="163"/>
      <c r="G141" s="162" t="s">
        <v>1137</v>
      </c>
    </row>
  </sheetData>
  <mergeCells count="1">
    <mergeCell ref="A126:G126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4"/>
  </sheetPr>
  <dimension ref="A3:B926"/>
  <sheetViews>
    <sheetView topLeftCell="A837" workbookViewId="0">
      <selection activeCell="A847" sqref="A847"/>
    </sheetView>
  </sheetViews>
  <sheetFormatPr defaultRowHeight="12.75" x14ac:dyDescent="0.2"/>
  <cols>
    <col min="1" max="1" width="25.85546875" customWidth="1"/>
    <col min="2" max="2" width="15.85546875" customWidth="1"/>
    <col min="3" max="223" width="6" customWidth="1"/>
    <col min="224" max="224" width="7.5703125" customWidth="1"/>
    <col min="225" max="265" width="6" customWidth="1"/>
    <col min="266" max="266" width="7.140625" customWidth="1"/>
    <col min="267" max="474" width="6" customWidth="1"/>
    <col min="475" max="475" width="11.7109375" bestFit="1" customWidth="1"/>
  </cols>
  <sheetData>
    <row r="3" spans="1:2" x14ac:dyDescent="0.2">
      <c r="A3" s="13" t="s">
        <v>128</v>
      </c>
    </row>
    <row r="4" spans="1:2" x14ac:dyDescent="0.2">
      <c r="A4" s="17">
        <v>20054293</v>
      </c>
      <c r="B4" t="str">
        <f>_xlfn.IFNA(IF(VLOOKUP(A4,MD!$A:$N,3,0) = "-","MEDION","PEAQ"),"")</f>
        <v/>
      </c>
    </row>
    <row r="5" spans="1:2" x14ac:dyDescent="0.2">
      <c r="A5" s="15">
        <v>99070</v>
      </c>
      <c r="B5" t="str">
        <f>_xlfn.IFNA(IF(VLOOKUP(A5,MD!$A:$N,3,0) = "-","MEDION","PEAQ"),"")</f>
        <v>PEAQ</v>
      </c>
    </row>
    <row r="6" spans="1:2" x14ac:dyDescent="0.2">
      <c r="A6" s="17">
        <v>20054294</v>
      </c>
      <c r="B6" t="str">
        <f>_xlfn.IFNA(IF(VLOOKUP(A6,MD!$A:$N,3,0) = "-","MEDION","PEAQ"),"")</f>
        <v/>
      </c>
    </row>
    <row r="7" spans="1:2" x14ac:dyDescent="0.2">
      <c r="A7" s="15">
        <v>99080</v>
      </c>
      <c r="B7" t="str">
        <f>_xlfn.IFNA(IF(VLOOKUP(A7,MD!$A:$N,3,0) = "-","MEDION","PEAQ"),"")</f>
        <v>PEAQ</v>
      </c>
    </row>
    <row r="8" spans="1:2" x14ac:dyDescent="0.2">
      <c r="A8" s="17">
        <v>20054376</v>
      </c>
      <c r="B8" t="str">
        <f>_xlfn.IFNA(IF(VLOOKUP(A8,MD!$A:$N,3,0) = "-","MEDION","PEAQ"),"")</f>
        <v/>
      </c>
    </row>
    <row r="9" spans="1:2" x14ac:dyDescent="0.2">
      <c r="A9" s="15">
        <v>99090</v>
      </c>
      <c r="B9" t="str">
        <f>_xlfn.IFNA(IF(VLOOKUP(A9,MD!$A:$N,3,0) = "-","MEDION","PEAQ"),"")</f>
        <v>PEAQ</v>
      </c>
    </row>
    <row r="10" spans="1:2" x14ac:dyDescent="0.2">
      <c r="A10" s="15">
        <v>99236</v>
      </c>
      <c r="B10" t="str">
        <f>_xlfn.IFNA(IF(VLOOKUP(A10,MD!$A:$N,3,0) = "-","MEDION","PEAQ"),"")</f>
        <v>PEAQ</v>
      </c>
    </row>
    <row r="11" spans="1:2" x14ac:dyDescent="0.2">
      <c r="A11" s="17">
        <v>20054462</v>
      </c>
      <c r="B11" t="str">
        <f>_xlfn.IFNA(IF(VLOOKUP(A11,MD!$A:$N,3,0) = "-","MEDION","PEAQ"),"")</f>
        <v/>
      </c>
    </row>
    <row r="12" spans="1:2" x14ac:dyDescent="0.2">
      <c r="A12" s="15">
        <v>99220</v>
      </c>
      <c r="B12" t="str">
        <f>_xlfn.IFNA(IF(VLOOKUP(A12,MD!$A:$N,3,0) = "-","MEDION","PEAQ"),"")</f>
        <v>PEAQ</v>
      </c>
    </row>
    <row r="13" spans="1:2" x14ac:dyDescent="0.2">
      <c r="A13" s="17">
        <v>20054586</v>
      </c>
      <c r="B13" t="str">
        <f>_xlfn.IFNA(IF(VLOOKUP(A13,MD!$A:$N,3,0) = "-","MEDION","PEAQ"),"")</f>
        <v/>
      </c>
    </row>
    <row r="14" spans="1:2" x14ac:dyDescent="0.2">
      <c r="A14" s="15">
        <v>99075</v>
      </c>
      <c r="B14" t="str">
        <f>_xlfn.IFNA(IF(VLOOKUP(A14,MD!$A:$N,3,0) = "-","MEDION","PEAQ"),"")</f>
        <v>PEAQ</v>
      </c>
    </row>
    <row r="15" spans="1:2" x14ac:dyDescent="0.2">
      <c r="A15" s="17">
        <v>20054773</v>
      </c>
      <c r="B15" t="str">
        <f>_xlfn.IFNA(IF(VLOOKUP(A15,MD!$A:$N,3,0) = "-","MEDION","PEAQ"),"")</f>
        <v/>
      </c>
    </row>
    <row r="16" spans="1:2" x14ac:dyDescent="0.2">
      <c r="A16" s="15">
        <v>99160</v>
      </c>
      <c r="B16" t="str">
        <f>_xlfn.IFNA(IF(VLOOKUP(A16,MD!$A:$N,3,0) = "-","MEDION","PEAQ"),"")</f>
        <v>PEAQ</v>
      </c>
    </row>
    <row r="17" spans="1:2" x14ac:dyDescent="0.2">
      <c r="A17" s="17">
        <v>20054774</v>
      </c>
      <c r="B17" t="str">
        <f>_xlfn.IFNA(IF(VLOOKUP(A17,MD!$A:$N,3,0) = "-","MEDION","PEAQ"),"")</f>
        <v/>
      </c>
    </row>
    <row r="18" spans="1:2" x14ac:dyDescent="0.2">
      <c r="A18" s="15">
        <v>99085</v>
      </c>
      <c r="B18" t="str">
        <f>_xlfn.IFNA(IF(VLOOKUP(A18,MD!$A:$N,3,0) = "-","MEDION","PEAQ"),"")</f>
        <v>PEAQ</v>
      </c>
    </row>
    <row r="19" spans="1:2" x14ac:dyDescent="0.2">
      <c r="A19" s="17">
        <v>20054843</v>
      </c>
      <c r="B19" t="str">
        <f>_xlfn.IFNA(IF(VLOOKUP(A19,MD!$A:$N,3,0) = "-","MEDION","PEAQ"),"")</f>
        <v/>
      </c>
    </row>
    <row r="20" spans="1:2" x14ac:dyDescent="0.2">
      <c r="A20" s="15">
        <v>99170</v>
      </c>
      <c r="B20" t="str">
        <f>_xlfn.IFNA(IF(VLOOKUP(A20,MD!$A:$N,3,0) = "-","MEDION","PEAQ"),"")</f>
        <v>PEAQ</v>
      </c>
    </row>
    <row r="21" spans="1:2" x14ac:dyDescent="0.2">
      <c r="A21" s="17">
        <v>20054997</v>
      </c>
      <c r="B21" t="str">
        <f>_xlfn.IFNA(IF(VLOOKUP(A21,MD!$A:$N,3,0) = "-","MEDION","PEAQ"),"")</f>
        <v/>
      </c>
    </row>
    <row r="22" spans="1:2" x14ac:dyDescent="0.2">
      <c r="A22" s="15">
        <v>99165</v>
      </c>
      <c r="B22" t="str">
        <f>_xlfn.IFNA(IF(VLOOKUP(A22,MD!$A:$N,3,0) = "-","MEDION","PEAQ"),"")</f>
        <v>PEAQ</v>
      </c>
    </row>
    <row r="23" spans="1:2" x14ac:dyDescent="0.2">
      <c r="A23" s="17">
        <v>20055163</v>
      </c>
      <c r="B23" t="str">
        <f>_xlfn.IFNA(IF(VLOOKUP(A23,MD!$A:$N,3,0) = "-","MEDION","PEAQ"),"")</f>
        <v/>
      </c>
    </row>
    <row r="24" spans="1:2" x14ac:dyDescent="0.2">
      <c r="A24" s="15">
        <v>99087</v>
      </c>
      <c r="B24" t="str">
        <f>_xlfn.IFNA(IF(VLOOKUP(A24,MD!$A:$N,3,0) = "-","MEDION","PEAQ"),"")</f>
        <v>PEAQ</v>
      </c>
    </row>
    <row r="25" spans="1:2" x14ac:dyDescent="0.2">
      <c r="A25" s="17">
        <v>20055942</v>
      </c>
      <c r="B25" t="str">
        <f>_xlfn.IFNA(IF(VLOOKUP(A25,MD!$A:$N,3,0) = "-","MEDION","PEAQ"),"")</f>
        <v/>
      </c>
    </row>
    <row r="26" spans="1:2" x14ac:dyDescent="0.2">
      <c r="A26" s="15">
        <v>99171</v>
      </c>
      <c r="B26" t="str">
        <f>_xlfn.IFNA(IF(VLOOKUP(A26,MD!$A:$N,3,0) = "-","MEDION","PEAQ"),"")</f>
        <v>PEAQ</v>
      </c>
    </row>
    <row r="27" spans="1:2" x14ac:dyDescent="0.2">
      <c r="A27" s="17">
        <v>20055980</v>
      </c>
      <c r="B27" t="str">
        <f>_xlfn.IFNA(IF(VLOOKUP(A27,MD!$A:$N,3,0) = "-","MEDION","PEAQ"),"")</f>
        <v/>
      </c>
    </row>
    <row r="28" spans="1:2" x14ac:dyDescent="0.2">
      <c r="A28" s="15">
        <v>99056</v>
      </c>
      <c r="B28" t="str">
        <f>_xlfn.IFNA(IF(VLOOKUP(A28,MD!$A:$N,3,0) = "-","MEDION","PEAQ"),"")</f>
        <v>PEAQ</v>
      </c>
    </row>
    <row r="29" spans="1:2" x14ac:dyDescent="0.2">
      <c r="A29" s="17">
        <v>20056135</v>
      </c>
      <c r="B29" t="str">
        <f>_xlfn.IFNA(IF(VLOOKUP(A29,MD!$A:$N,3,0) = "-","MEDION","PEAQ"),"")</f>
        <v/>
      </c>
    </row>
    <row r="30" spans="1:2" x14ac:dyDescent="0.2">
      <c r="A30" s="15">
        <v>99230</v>
      </c>
      <c r="B30" t="str">
        <f>_xlfn.IFNA(IF(VLOOKUP(A30,MD!$A:$N,3,0) = "-","MEDION","PEAQ"),"")</f>
        <v>PEAQ</v>
      </c>
    </row>
    <row r="31" spans="1:2" x14ac:dyDescent="0.2">
      <c r="A31" s="17">
        <v>20056136</v>
      </c>
      <c r="B31" t="str">
        <f>_xlfn.IFNA(IF(VLOOKUP(A31,MD!$A:$N,3,0) = "-","MEDION","PEAQ"),"")</f>
        <v/>
      </c>
    </row>
    <row r="32" spans="1:2" x14ac:dyDescent="0.2">
      <c r="A32" s="15">
        <v>99235</v>
      </c>
      <c r="B32" t="str">
        <f>_xlfn.IFNA(IF(VLOOKUP(A32,MD!$A:$N,3,0) = "-","MEDION","PEAQ"),"")</f>
        <v>PEAQ</v>
      </c>
    </row>
    <row r="33" spans="1:2" x14ac:dyDescent="0.2">
      <c r="A33" s="17">
        <v>20056278</v>
      </c>
      <c r="B33" t="str">
        <f>_xlfn.IFNA(IF(VLOOKUP(A33,MD!$A:$N,3,0) = "-","MEDION","PEAQ"),"")</f>
        <v/>
      </c>
    </row>
    <row r="34" spans="1:2" x14ac:dyDescent="0.2">
      <c r="A34" s="15">
        <v>99240</v>
      </c>
      <c r="B34" t="str">
        <f>_xlfn.IFNA(IF(VLOOKUP(A34,MD!$A:$N,3,0) = "-","MEDION","PEAQ"),"")</f>
        <v>PEAQ</v>
      </c>
    </row>
    <row r="35" spans="1:2" x14ac:dyDescent="0.2">
      <c r="A35" s="17">
        <v>20056290</v>
      </c>
      <c r="B35" t="str">
        <f>_xlfn.IFNA(IF(VLOOKUP(A35,MD!$A:$N,3,0) = "-","MEDION","PEAQ"),"")</f>
        <v/>
      </c>
    </row>
    <row r="36" spans="1:2" x14ac:dyDescent="0.2">
      <c r="A36" s="15">
        <v>99260</v>
      </c>
      <c r="B36" t="str">
        <f>_xlfn.IFNA(IF(VLOOKUP(A36,MD!$A:$N,3,0) = "-","MEDION","PEAQ"),"")</f>
        <v>PEAQ</v>
      </c>
    </row>
    <row r="37" spans="1:2" x14ac:dyDescent="0.2">
      <c r="A37" s="17">
        <v>20056439</v>
      </c>
      <c r="B37" t="str">
        <f>_xlfn.IFNA(IF(VLOOKUP(A37,MD!$A:$N,3,0) = "-","MEDION","PEAQ"),"")</f>
        <v/>
      </c>
    </row>
    <row r="38" spans="1:2" x14ac:dyDescent="0.2">
      <c r="A38" s="15">
        <v>98674</v>
      </c>
      <c r="B38" t="str">
        <f>_xlfn.IFNA(IF(VLOOKUP(A38,MD!$A:$N,3,0) = "-","MEDION","PEAQ"),"")</f>
        <v>PEAQ</v>
      </c>
    </row>
    <row r="39" spans="1:2" x14ac:dyDescent="0.2">
      <c r="A39" s="17">
        <v>20056490</v>
      </c>
      <c r="B39" t="str">
        <f>_xlfn.IFNA(IF(VLOOKUP(A39,MD!$A:$N,3,0) = "-","MEDION","PEAQ"),"")</f>
        <v/>
      </c>
    </row>
    <row r="40" spans="1:2" x14ac:dyDescent="0.2">
      <c r="A40" s="15">
        <v>99270</v>
      </c>
      <c r="B40" t="str">
        <f>_xlfn.IFNA(IF(VLOOKUP(A40,MD!$A:$N,3,0) = "-","MEDION","PEAQ"),"")</f>
        <v>PEAQ</v>
      </c>
    </row>
    <row r="41" spans="1:2" x14ac:dyDescent="0.2">
      <c r="A41" s="17">
        <v>20056952</v>
      </c>
      <c r="B41" t="str">
        <f>_xlfn.IFNA(IF(VLOOKUP(A41,MD!$A:$N,3,0) = "-","MEDION","PEAQ"),"")</f>
        <v/>
      </c>
    </row>
    <row r="42" spans="1:2" x14ac:dyDescent="0.2">
      <c r="A42" s="15">
        <v>99290</v>
      </c>
      <c r="B42" t="str">
        <f>_xlfn.IFNA(IF(VLOOKUP(A42,MD!$A:$N,3,0) = "-","MEDION","PEAQ"),"")</f>
        <v>PEAQ</v>
      </c>
    </row>
    <row r="43" spans="1:2" x14ac:dyDescent="0.2">
      <c r="A43" s="17">
        <v>20056997</v>
      </c>
      <c r="B43" t="str">
        <f>_xlfn.IFNA(IF(VLOOKUP(A43,MD!$A:$N,3,0) = "-","MEDION","PEAQ"),"")</f>
        <v/>
      </c>
    </row>
    <row r="44" spans="1:2" x14ac:dyDescent="0.2">
      <c r="A44" s="15">
        <v>99222</v>
      </c>
      <c r="B44" t="str">
        <f>_xlfn.IFNA(IF(VLOOKUP(A44,MD!$A:$N,3,0) = "-","MEDION","PEAQ"),"")</f>
        <v>PEAQ</v>
      </c>
    </row>
    <row r="45" spans="1:2" x14ac:dyDescent="0.2">
      <c r="A45" s="17">
        <v>20057390</v>
      </c>
      <c r="B45" t="str">
        <f>_xlfn.IFNA(IF(VLOOKUP(A45,MD!$A:$N,3,0) = "-","MEDION","PEAQ"),"")</f>
        <v/>
      </c>
    </row>
    <row r="46" spans="1:2" x14ac:dyDescent="0.2">
      <c r="A46" s="15">
        <v>99280</v>
      </c>
      <c r="B46" t="str">
        <f>_xlfn.IFNA(IF(VLOOKUP(A46,MD!$A:$N,3,0) = "-","MEDION","PEAQ"),"")</f>
        <v>PEAQ</v>
      </c>
    </row>
    <row r="47" spans="1:2" x14ac:dyDescent="0.2">
      <c r="A47" s="17">
        <v>20057494</v>
      </c>
      <c r="B47" t="str">
        <f>_xlfn.IFNA(IF(VLOOKUP(A47,MD!$A:$N,3,0) = "-","MEDION","PEAQ"),"")</f>
        <v/>
      </c>
    </row>
    <row r="48" spans="1:2" x14ac:dyDescent="0.2">
      <c r="A48" s="15">
        <v>99310</v>
      </c>
      <c r="B48" t="str">
        <f>_xlfn.IFNA(IF(VLOOKUP(A48,MD!$A:$N,3,0) = "-","MEDION","PEAQ"),"")</f>
        <v>PEAQ</v>
      </c>
    </row>
    <row r="49" spans="1:2" x14ac:dyDescent="0.2">
      <c r="A49" s="17">
        <v>20057646</v>
      </c>
      <c r="B49" t="str">
        <f>_xlfn.IFNA(IF(VLOOKUP(A49,MD!$A:$N,3,0) = "-","MEDION","PEAQ"),"")</f>
        <v/>
      </c>
    </row>
    <row r="50" spans="1:2" x14ac:dyDescent="0.2">
      <c r="A50" s="15">
        <v>98876</v>
      </c>
      <c r="B50" t="str">
        <f>_xlfn.IFNA(IF(VLOOKUP(A50,MD!$A:$N,3,0) = "-","MEDION","PEAQ"),"")</f>
        <v>PEAQ</v>
      </c>
    </row>
    <row r="51" spans="1:2" x14ac:dyDescent="0.2">
      <c r="A51" s="17">
        <v>20057819</v>
      </c>
      <c r="B51" t="str">
        <f>_xlfn.IFNA(IF(VLOOKUP(A51,MD!$A:$N,3,0) = "-","MEDION","PEAQ"),"")</f>
        <v/>
      </c>
    </row>
    <row r="52" spans="1:2" x14ac:dyDescent="0.2">
      <c r="A52" s="15">
        <v>98874</v>
      </c>
      <c r="B52" t="str">
        <f>_xlfn.IFNA(IF(VLOOKUP(A52,MD!$A:$N,3,0) = "-","MEDION","PEAQ"),"")</f>
        <v>PEAQ</v>
      </c>
    </row>
    <row r="53" spans="1:2" x14ac:dyDescent="0.2">
      <c r="A53" s="17">
        <v>20058580</v>
      </c>
      <c r="B53" t="str">
        <f>_xlfn.IFNA(IF(VLOOKUP(A53,MD!$A:$N,3,0) = "-","MEDION","PEAQ"),"")</f>
        <v/>
      </c>
    </row>
    <row r="54" spans="1:2" x14ac:dyDescent="0.2">
      <c r="A54" s="15">
        <v>98889</v>
      </c>
      <c r="B54" t="str">
        <f>_xlfn.IFNA(IF(VLOOKUP(A54,MD!$A:$N,3,0) = "-","MEDION","PEAQ"),"")</f>
        <v>PEAQ</v>
      </c>
    </row>
    <row r="55" spans="1:2" x14ac:dyDescent="0.2">
      <c r="A55" s="17">
        <v>20058695</v>
      </c>
      <c r="B55" t="str">
        <f>_xlfn.IFNA(IF(VLOOKUP(A55,MD!$A:$N,3,0) = "-","MEDION","PEAQ"),"")</f>
        <v/>
      </c>
    </row>
    <row r="56" spans="1:2" x14ac:dyDescent="0.2">
      <c r="A56" s="15">
        <v>98887</v>
      </c>
      <c r="B56" t="str">
        <f>_xlfn.IFNA(IF(VLOOKUP(A56,MD!$A:$N,3,0) = "-","MEDION","PEAQ"),"")</f>
        <v>PEAQ</v>
      </c>
    </row>
    <row r="57" spans="1:2" x14ac:dyDescent="0.2">
      <c r="A57" s="15">
        <v>99390</v>
      </c>
      <c r="B57" t="str">
        <f>_xlfn.IFNA(IF(VLOOKUP(A57,MD!$A:$N,3,0) = "-","MEDION","PEAQ"),"")</f>
        <v>PEAQ</v>
      </c>
    </row>
    <row r="58" spans="1:2" x14ac:dyDescent="0.2">
      <c r="A58" s="15">
        <v>99411</v>
      </c>
      <c r="B58" t="str">
        <f>_xlfn.IFNA(IF(VLOOKUP(A58,MD!$A:$N,3,0) = "-","MEDION","PEAQ"),"")</f>
        <v>PEAQ</v>
      </c>
    </row>
    <row r="59" spans="1:2" x14ac:dyDescent="0.2">
      <c r="A59" s="15">
        <v>99451</v>
      </c>
      <c r="B59" t="str">
        <f>_xlfn.IFNA(IF(VLOOKUP(A59,MD!$A:$N,3,0) = "-","MEDION","PEAQ"),"")</f>
        <v>PEAQ</v>
      </c>
    </row>
    <row r="60" spans="1:2" x14ac:dyDescent="0.2">
      <c r="A60" s="17">
        <v>20058697</v>
      </c>
      <c r="B60" t="str">
        <f>_xlfn.IFNA(IF(VLOOKUP(A60,MD!$A:$N,3,0) = "-","MEDION","PEAQ"),"")</f>
        <v/>
      </c>
    </row>
    <row r="61" spans="1:2" x14ac:dyDescent="0.2">
      <c r="A61" s="15">
        <v>99420</v>
      </c>
      <c r="B61" t="str">
        <f>_xlfn.IFNA(IF(VLOOKUP(A61,MD!$A:$N,3,0) = "-","MEDION","PEAQ"),"")</f>
        <v>PEAQ</v>
      </c>
    </row>
    <row r="62" spans="1:2" x14ac:dyDescent="0.2">
      <c r="A62" s="15">
        <v>99421</v>
      </c>
      <c r="B62" t="str">
        <f>_xlfn.IFNA(IF(VLOOKUP(A62,MD!$A:$N,3,0) = "-","MEDION","PEAQ"),"")</f>
        <v>PEAQ</v>
      </c>
    </row>
    <row r="63" spans="1:2" x14ac:dyDescent="0.2">
      <c r="A63" s="17">
        <v>20058873</v>
      </c>
      <c r="B63" t="str">
        <f>_xlfn.IFNA(IF(VLOOKUP(A63,MD!$A:$N,3,0) = "-","MEDION","PEAQ"),"")</f>
        <v/>
      </c>
    </row>
    <row r="64" spans="1:2" x14ac:dyDescent="0.2">
      <c r="A64" s="15">
        <v>98449</v>
      </c>
      <c r="B64" t="str">
        <f>_xlfn.IFNA(IF(VLOOKUP(A64,MD!$A:$N,3,0) = "-","MEDION","PEAQ"),"")</f>
        <v>PEAQ</v>
      </c>
    </row>
    <row r="65" spans="1:2" x14ac:dyDescent="0.2">
      <c r="A65" s="15">
        <v>98537</v>
      </c>
      <c r="B65" t="str">
        <f>_xlfn.IFNA(IF(VLOOKUP(A65,MD!$A:$N,3,0) = "-","MEDION","PEAQ"),"")</f>
        <v>PEAQ</v>
      </c>
    </row>
    <row r="66" spans="1:2" x14ac:dyDescent="0.2">
      <c r="A66" s="15">
        <v>98707</v>
      </c>
      <c r="B66" t="str">
        <f>_xlfn.IFNA(IF(VLOOKUP(A66,MD!$A:$N,3,0) = "-","MEDION","PEAQ"),"")</f>
        <v>PEAQ</v>
      </c>
    </row>
    <row r="67" spans="1:2" x14ac:dyDescent="0.2">
      <c r="A67" s="15">
        <v>98908</v>
      </c>
      <c r="B67" t="str">
        <f>_xlfn.IFNA(IF(VLOOKUP(A67,MD!$A:$N,3,0) = "-","MEDION","PEAQ"),"")</f>
        <v>PEAQ</v>
      </c>
    </row>
    <row r="68" spans="1:2" x14ac:dyDescent="0.2">
      <c r="A68" s="17">
        <v>20058877</v>
      </c>
      <c r="B68" t="str">
        <f>_xlfn.IFNA(IF(VLOOKUP(A68,MD!$A:$N,3,0) = "-","MEDION","PEAQ"),"")</f>
        <v/>
      </c>
    </row>
    <row r="69" spans="1:2" x14ac:dyDescent="0.2">
      <c r="A69" s="15">
        <v>99410</v>
      </c>
      <c r="B69" t="str">
        <f>_xlfn.IFNA(IF(VLOOKUP(A69,MD!$A:$N,3,0) = "-","MEDION","PEAQ"),"")</f>
        <v>PEAQ</v>
      </c>
    </row>
    <row r="70" spans="1:2" x14ac:dyDescent="0.2">
      <c r="A70" s="15">
        <v>99466</v>
      </c>
      <c r="B70" t="str">
        <f>_xlfn.IFNA(IF(VLOOKUP(A70,MD!$A:$N,3,0) = "-","MEDION","PEAQ"),"")</f>
        <v>PEAQ</v>
      </c>
    </row>
    <row r="71" spans="1:2" x14ac:dyDescent="0.2">
      <c r="A71" s="17">
        <v>20058998</v>
      </c>
      <c r="B71" t="str">
        <f>_xlfn.IFNA(IF(VLOOKUP(A71,MD!$A:$N,3,0) = "-","MEDION","PEAQ"),"")</f>
        <v/>
      </c>
    </row>
    <row r="72" spans="1:2" x14ac:dyDescent="0.2">
      <c r="A72" s="15">
        <v>98832</v>
      </c>
      <c r="B72" t="str">
        <f>_xlfn.IFNA(IF(VLOOKUP(A72,MD!$A:$N,3,0) = "-","MEDION","PEAQ"),"")</f>
        <v>PEAQ</v>
      </c>
    </row>
    <row r="73" spans="1:2" x14ac:dyDescent="0.2">
      <c r="A73" s="15">
        <v>98844</v>
      </c>
      <c r="B73" t="str">
        <f>_xlfn.IFNA(IF(VLOOKUP(A73,MD!$A:$N,3,0) = "-","MEDION","PEAQ"),"")</f>
        <v>PEAQ</v>
      </c>
    </row>
    <row r="74" spans="1:2" x14ac:dyDescent="0.2">
      <c r="A74" s="17">
        <v>20059110</v>
      </c>
      <c r="B74" t="str">
        <f>_xlfn.IFNA(IF(VLOOKUP(A74,MD!$A:$N,3,0) = "-","MEDION","PEAQ"),"")</f>
        <v/>
      </c>
    </row>
    <row r="75" spans="1:2" x14ac:dyDescent="0.2">
      <c r="A75" s="15">
        <v>99318</v>
      </c>
      <c r="B75" t="str">
        <f>_xlfn.IFNA(IF(VLOOKUP(A75,MD!$A:$N,3,0) = "-","MEDION","PEAQ"),"")</f>
        <v>PEAQ</v>
      </c>
    </row>
    <row r="76" spans="1:2" x14ac:dyDescent="0.2">
      <c r="A76" s="15">
        <v>99400</v>
      </c>
      <c r="B76" t="str">
        <f>_xlfn.IFNA(IF(VLOOKUP(A76,MD!$A:$N,3,0) = "-","MEDION","PEAQ"),"")</f>
        <v>PEAQ</v>
      </c>
    </row>
    <row r="77" spans="1:2" x14ac:dyDescent="0.2">
      <c r="A77" s="15">
        <v>99566</v>
      </c>
      <c r="B77" t="str">
        <f>_xlfn.IFNA(IF(VLOOKUP(A77,MD!$A:$N,3,0) = "-","MEDION","PEAQ"),"")</f>
        <v>PEAQ</v>
      </c>
    </row>
    <row r="78" spans="1:2" x14ac:dyDescent="0.2">
      <c r="A78" s="17">
        <v>20059189</v>
      </c>
      <c r="B78" t="str">
        <f>_xlfn.IFNA(IF(VLOOKUP(A78,MD!$A:$N,3,0) = "-","MEDION","PEAQ"),"")</f>
        <v/>
      </c>
    </row>
    <row r="79" spans="1:2" x14ac:dyDescent="0.2">
      <c r="A79" s="15">
        <v>99554</v>
      </c>
      <c r="B79" t="str">
        <f>_xlfn.IFNA(IF(VLOOKUP(A79,MD!$A:$N,3,0) = "-","MEDION","PEAQ"),"")</f>
        <v>PEAQ</v>
      </c>
    </row>
    <row r="80" spans="1:2" x14ac:dyDescent="0.2">
      <c r="A80" s="15">
        <v>99585</v>
      </c>
      <c r="B80" t="str">
        <f>_xlfn.IFNA(IF(VLOOKUP(A80,MD!$A:$N,3,0) = "-","MEDION","PEAQ"),"")</f>
        <v>PEAQ</v>
      </c>
    </row>
    <row r="81" spans="1:2" x14ac:dyDescent="0.2">
      <c r="A81" s="17">
        <v>20059441</v>
      </c>
      <c r="B81" t="str">
        <f>_xlfn.IFNA(IF(VLOOKUP(A81,MD!$A:$N,3,0) = "-","MEDION","PEAQ"),"")</f>
        <v/>
      </c>
    </row>
    <row r="82" spans="1:2" x14ac:dyDescent="0.2">
      <c r="A82" s="15">
        <v>99444</v>
      </c>
      <c r="B82" t="str">
        <f>_xlfn.IFNA(IF(VLOOKUP(A82,MD!$A:$N,3,0) = "-","MEDION","PEAQ"),"")</f>
        <v>PEAQ</v>
      </c>
    </row>
    <row r="83" spans="1:2" x14ac:dyDescent="0.2">
      <c r="A83" s="17">
        <v>20059570</v>
      </c>
      <c r="B83" t="str">
        <f>_xlfn.IFNA(IF(VLOOKUP(A83,MD!$A:$N,3,0) = "-","MEDION","PEAQ"),"")</f>
        <v/>
      </c>
    </row>
    <row r="84" spans="1:2" x14ac:dyDescent="0.2">
      <c r="A84" s="15">
        <v>99391</v>
      </c>
      <c r="B84" t="str">
        <f>_xlfn.IFNA(IF(VLOOKUP(A84,MD!$A:$N,3,0) = "-","MEDION","PEAQ"),"")</f>
        <v>PEAQ</v>
      </c>
    </row>
    <row r="85" spans="1:2" x14ac:dyDescent="0.2">
      <c r="A85" s="17">
        <v>20059759</v>
      </c>
      <c r="B85" t="str">
        <f>_xlfn.IFNA(IF(VLOOKUP(A85,MD!$A:$N,3,0) = "-","MEDION","PEAQ"),"")</f>
        <v/>
      </c>
    </row>
    <row r="86" spans="1:2" x14ac:dyDescent="0.2">
      <c r="A86" s="15">
        <v>99450</v>
      </c>
      <c r="B86" t="str">
        <f>_xlfn.IFNA(IF(VLOOKUP(A86,MD!$A:$N,3,0) = "-","MEDION","PEAQ"),"")</f>
        <v>PEAQ</v>
      </c>
    </row>
    <row r="87" spans="1:2" x14ac:dyDescent="0.2">
      <c r="A87" s="17">
        <v>20059860</v>
      </c>
      <c r="B87" t="str">
        <f>_xlfn.IFNA(IF(VLOOKUP(A87,MD!$A:$N,3,0) = "-","MEDION","PEAQ"),"")</f>
        <v/>
      </c>
    </row>
    <row r="88" spans="1:2" x14ac:dyDescent="0.2">
      <c r="A88" s="15">
        <v>99313</v>
      </c>
      <c r="B88" t="str">
        <f>_xlfn.IFNA(IF(VLOOKUP(A88,MD!$A:$N,3,0) = "-","MEDION","PEAQ"),"")</f>
        <v>PEAQ</v>
      </c>
    </row>
    <row r="89" spans="1:2" x14ac:dyDescent="0.2">
      <c r="A89" s="17">
        <v>20060120</v>
      </c>
      <c r="B89" t="str">
        <f>_xlfn.IFNA(IF(VLOOKUP(A89,MD!$A:$N,3,0) = "-","MEDION","PEAQ"),"")</f>
        <v/>
      </c>
    </row>
    <row r="90" spans="1:2" x14ac:dyDescent="0.2">
      <c r="A90" s="15">
        <v>99329</v>
      </c>
      <c r="B90" t="str">
        <f>_xlfn.IFNA(IF(VLOOKUP(A90,MD!$A:$N,3,0) = "-","MEDION","PEAQ"),"")</f>
        <v>PEAQ</v>
      </c>
    </row>
    <row r="91" spans="1:2" x14ac:dyDescent="0.2">
      <c r="A91" s="15">
        <v>99570</v>
      </c>
      <c r="B91" t="str">
        <f>_xlfn.IFNA(IF(VLOOKUP(A91,MD!$A:$N,3,0) = "-","MEDION","PEAQ"),"")</f>
        <v>PEAQ</v>
      </c>
    </row>
    <row r="92" spans="1:2" x14ac:dyDescent="0.2">
      <c r="A92" s="17">
        <v>20060245</v>
      </c>
      <c r="B92" t="str">
        <f>_xlfn.IFNA(IF(VLOOKUP(A92,MD!$A:$N,3,0) = "-","MEDION","PEAQ"),"")</f>
        <v/>
      </c>
    </row>
    <row r="93" spans="1:2" x14ac:dyDescent="0.2">
      <c r="A93" s="15">
        <v>99372</v>
      </c>
      <c r="B93" t="str">
        <f>_xlfn.IFNA(IF(VLOOKUP(A93,MD!$A:$N,3,0) = "-","MEDION","PEAQ"),"")</f>
        <v>PEAQ</v>
      </c>
    </row>
    <row r="94" spans="1:2" x14ac:dyDescent="0.2">
      <c r="A94" s="15">
        <v>99247</v>
      </c>
      <c r="B94" t="str">
        <f>_xlfn.IFNA(IF(VLOOKUP(A94,MD!$A:$N,3,0) = "-","MEDION","PEAQ"),"")</f>
        <v>PEAQ</v>
      </c>
    </row>
    <row r="95" spans="1:2" x14ac:dyDescent="0.2">
      <c r="A95" s="17">
        <v>20060246</v>
      </c>
      <c r="B95" t="str">
        <f>_xlfn.IFNA(IF(VLOOKUP(A95,MD!$A:$N,3,0) = "-","MEDION","PEAQ"),"")</f>
        <v/>
      </c>
    </row>
    <row r="96" spans="1:2" x14ac:dyDescent="0.2">
      <c r="A96" s="15">
        <v>99460</v>
      </c>
      <c r="B96" t="str">
        <f>_xlfn.IFNA(IF(VLOOKUP(A96,MD!$A:$N,3,0) = "-","MEDION","PEAQ"),"")</f>
        <v>PEAQ</v>
      </c>
    </row>
    <row r="97" spans="1:2" x14ac:dyDescent="0.2">
      <c r="A97" s="15">
        <v>99490</v>
      </c>
      <c r="B97" t="str">
        <f>_xlfn.IFNA(IF(VLOOKUP(A97,MD!$A:$N,3,0) = "-","MEDION","PEAQ"),"")</f>
        <v>PEAQ</v>
      </c>
    </row>
    <row r="98" spans="1:2" x14ac:dyDescent="0.2">
      <c r="A98" s="17">
        <v>20060248</v>
      </c>
      <c r="B98" t="str">
        <f>_xlfn.IFNA(IF(VLOOKUP(A98,MD!$A:$N,3,0) = "-","MEDION","PEAQ"),"")</f>
        <v/>
      </c>
    </row>
    <row r="99" spans="1:2" x14ac:dyDescent="0.2">
      <c r="A99" s="15">
        <v>99540</v>
      </c>
      <c r="B99" t="str">
        <f>_xlfn.IFNA(IF(VLOOKUP(A99,MD!$A:$N,3,0) = "-","MEDION","PEAQ"),"")</f>
        <v>PEAQ</v>
      </c>
    </row>
    <row r="100" spans="1:2" x14ac:dyDescent="0.2">
      <c r="A100" s="17">
        <v>20060376</v>
      </c>
      <c r="B100" t="str">
        <f>_xlfn.IFNA(IF(VLOOKUP(A100,MD!$A:$N,3,0) = "-","MEDION","PEAQ"),"")</f>
        <v/>
      </c>
    </row>
    <row r="101" spans="1:2" x14ac:dyDescent="0.2">
      <c r="A101" s="15">
        <v>99471</v>
      </c>
      <c r="B101" t="str">
        <f>_xlfn.IFNA(IF(VLOOKUP(A101,MD!$A:$N,3,0) = "-","MEDION","PEAQ"),"")</f>
        <v>PEAQ</v>
      </c>
    </row>
    <row r="102" spans="1:2" x14ac:dyDescent="0.2">
      <c r="A102" s="15">
        <v>99526</v>
      </c>
      <c r="B102" t="str">
        <f>_xlfn.IFNA(IF(VLOOKUP(A102,MD!$A:$N,3,0) = "-","MEDION","PEAQ"),"")</f>
        <v>PEAQ</v>
      </c>
    </row>
    <row r="103" spans="1:2" x14ac:dyDescent="0.2">
      <c r="A103" s="15">
        <v>99590</v>
      </c>
      <c r="B103" t="str">
        <f>_xlfn.IFNA(IF(VLOOKUP(A103,MD!$A:$N,3,0) = "-","MEDION","PEAQ"),"")</f>
        <v>PEAQ</v>
      </c>
    </row>
    <row r="104" spans="1:2" x14ac:dyDescent="0.2">
      <c r="A104" s="15">
        <v>99599</v>
      </c>
      <c r="B104" t="str">
        <f>_xlfn.IFNA(IF(VLOOKUP(A104,MD!$A:$N,3,0) = "-","MEDION","PEAQ"),"")</f>
        <v>PEAQ</v>
      </c>
    </row>
    <row r="105" spans="1:2" x14ac:dyDescent="0.2">
      <c r="A105" s="15">
        <v>99630</v>
      </c>
      <c r="B105" t="str">
        <f>_xlfn.IFNA(IF(VLOOKUP(A105,MD!$A:$N,3,0) = "-","MEDION","PEAQ"),"")</f>
        <v>PEAQ</v>
      </c>
    </row>
    <row r="106" spans="1:2" x14ac:dyDescent="0.2">
      <c r="A106" s="15">
        <v>99745</v>
      </c>
      <c r="B106" t="str">
        <f>_xlfn.IFNA(IF(VLOOKUP(A106,MD!$A:$N,3,0) = "-","MEDION","PEAQ"),"")</f>
        <v>PEAQ</v>
      </c>
    </row>
    <row r="107" spans="1:2" x14ac:dyDescent="0.2">
      <c r="A107" s="15">
        <v>99910</v>
      </c>
      <c r="B107" t="str">
        <f>_xlfn.IFNA(IF(VLOOKUP(A107,MD!$A:$N,3,0) = "-","MEDION","PEAQ"),"")</f>
        <v>PEAQ</v>
      </c>
    </row>
    <row r="108" spans="1:2" x14ac:dyDescent="0.2">
      <c r="A108" s="15">
        <v>99525</v>
      </c>
      <c r="B108" t="str">
        <f>_xlfn.IFNA(IF(VLOOKUP(A108,MD!$A:$N,3,0) = "-","MEDION","PEAQ"),"")</f>
        <v>PEAQ</v>
      </c>
    </row>
    <row r="109" spans="1:2" x14ac:dyDescent="0.2">
      <c r="A109" s="15">
        <v>60095</v>
      </c>
      <c r="B109" t="str">
        <f>_xlfn.IFNA(IF(VLOOKUP(A109,MD!$A:$N,3,0) = "-","MEDION","PEAQ"),"")</f>
        <v>PEAQ</v>
      </c>
    </row>
    <row r="110" spans="1:2" x14ac:dyDescent="0.2">
      <c r="A110" s="15">
        <v>99861</v>
      </c>
      <c r="B110" t="str">
        <f>_xlfn.IFNA(IF(VLOOKUP(A110,MD!$A:$N,3,0) = "-","MEDION","PEAQ"),"")</f>
        <v>PEAQ</v>
      </c>
    </row>
    <row r="111" spans="1:2" x14ac:dyDescent="0.2">
      <c r="A111" s="15">
        <v>99885</v>
      </c>
      <c r="B111" t="str">
        <f>_xlfn.IFNA(IF(VLOOKUP(A111,MD!$A:$N,3,0) = "-","MEDION","PEAQ"),"")</f>
        <v>PEAQ</v>
      </c>
    </row>
    <row r="112" spans="1:2" x14ac:dyDescent="0.2">
      <c r="A112" s="15">
        <v>99543</v>
      </c>
      <c r="B112" t="str">
        <f>_xlfn.IFNA(IF(VLOOKUP(A112,MD!$A:$N,3,0) = "-","MEDION","PEAQ"),"")</f>
        <v>PEAQ</v>
      </c>
    </row>
    <row r="113" spans="1:2" x14ac:dyDescent="0.2">
      <c r="A113" s="15">
        <v>99438</v>
      </c>
      <c r="B113" t="str">
        <f>_xlfn.IFNA(IF(VLOOKUP(A113,MD!$A:$N,3,0) = "-","MEDION","PEAQ"),"")</f>
        <v>PEAQ</v>
      </c>
    </row>
    <row r="114" spans="1:2" x14ac:dyDescent="0.2">
      <c r="A114" s="15">
        <v>99564</v>
      </c>
      <c r="B114" t="str">
        <f>_xlfn.IFNA(IF(VLOOKUP(A114,MD!$A:$N,3,0) = "-","MEDION","PEAQ"),"")</f>
        <v>PEAQ</v>
      </c>
    </row>
    <row r="115" spans="1:2" x14ac:dyDescent="0.2">
      <c r="A115" s="15">
        <v>60422</v>
      </c>
      <c r="B115" t="str">
        <f>_xlfn.IFNA(IF(VLOOKUP(A115,MD!$A:$N,3,0) = "-","MEDION","PEAQ"),"")</f>
        <v>PEAQ</v>
      </c>
    </row>
    <row r="116" spans="1:2" x14ac:dyDescent="0.2">
      <c r="A116" s="15">
        <v>99352</v>
      </c>
      <c r="B116" t="str">
        <f>_xlfn.IFNA(IF(VLOOKUP(A116,MD!$A:$N,3,0) = "-","MEDION","PEAQ"),"")</f>
        <v>PEAQ</v>
      </c>
    </row>
    <row r="117" spans="1:2" x14ac:dyDescent="0.2">
      <c r="A117" s="15">
        <v>99512</v>
      </c>
      <c r="B117" t="str">
        <f>_xlfn.IFNA(IF(VLOOKUP(A117,MD!$A:$N,3,0) = "-","MEDION","PEAQ"),"")</f>
        <v>PEAQ</v>
      </c>
    </row>
    <row r="118" spans="1:2" x14ac:dyDescent="0.2">
      <c r="A118" s="17">
        <v>20060556</v>
      </c>
      <c r="B118" t="str">
        <f>_xlfn.IFNA(IF(VLOOKUP(A118,MD!$A:$N,3,0) = "-","MEDION","PEAQ"),"")</f>
        <v/>
      </c>
    </row>
    <row r="119" spans="1:2" x14ac:dyDescent="0.2">
      <c r="A119" s="15">
        <v>99746</v>
      </c>
      <c r="B119" t="str">
        <f>_xlfn.IFNA(IF(VLOOKUP(A119,MD!$A:$N,3,0) = "-","MEDION","PEAQ"),"")</f>
        <v>PEAQ</v>
      </c>
    </row>
    <row r="120" spans="1:2" x14ac:dyDescent="0.2">
      <c r="A120" s="15">
        <v>99855</v>
      </c>
      <c r="B120" t="str">
        <f>_xlfn.IFNA(IF(VLOOKUP(A120,MD!$A:$N,3,0) = "-","MEDION","PEAQ"),"")</f>
        <v>PEAQ</v>
      </c>
    </row>
    <row r="121" spans="1:2" x14ac:dyDescent="0.2">
      <c r="A121" s="15">
        <v>99857</v>
      </c>
      <c r="B121" t="str">
        <f>_xlfn.IFNA(IF(VLOOKUP(A121,MD!$A:$N,3,0) = "-","MEDION","PEAQ"),"")</f>
        <v>PEAQ</v>
      </c>
    </row>
    <row r="122" spans="1:2" x14ac:dyDescent="0.2">
      <c r="A122" s="15">
        <v>99859</v>
      </c>
      <c r="B122" t="str">
        <f>_xlfn.IFNA(IF(VLOOKUP(A122,MD!$A:$N,3,0) = "-","MEDION","PEAQ"),"")</f>
        <v>PEAQ</v>
      </c>
    </row>
    <row r="123" spans="1:2" x14ac:dyDescent="0.2">
      <c r="A123" s="15">
        <v>99867</v>
      </c>
      <c r="B123" t="str">
        <f>_xlfn.IFNA(IF(VLOOKUP(A123,MD!$A:$N,3,0) = "-","MEDION","PEAQ"),"")</f>
        <v>PEAQ</v>
      </c>
    </row>
    <row r="124" spans="1:2" x14ac:dyDescent="0.2">
      <c r="A124" s="15">
        <v>99871</v>
      </c>
      <c r="B124" t="str">
        <f>_xlfn.IFNA(IF(VLOOKUP(A124,MD!$A:$N,3,0) = "-","MEDION","PEAQ"),"")</f>
        <v>PEAQ</v>
      </c>
    </row>
    <row r="125" spans="1:2" x14ac:dyDescent="0.2">
      <c r="A125" s="15">
        <v>99869</v>
      </c>
      <c r="B125" t="str">
        <f>_xlfn.IFNA(IF(VLOOKUP(A125,MD!$A:$N,3,0) = "-","MEDION","PEAQ"),"")</f>
        <v>PEAQ</v>
      </c>
    </row>
    <row r="126" spans="1:2" x14ac:dyDescent="0.2">
      <c r="A126" s="15">
        <v>99696</v>
      </c>
      <c r="B126" t="str">
        <f>_xlfn.IFNA(IF(VLOOKUP(A126,MD!$A:$N,3,0) = "-","MEDION","PEAQ"),"")</f>
        <v>PEAQ</v>
      </c>
    </row>
    <row r="127" spans="1:2" x14ac:dyDescent="0.2">
      <c r="A127" s="17">
        <v>20060561</v>
      </c>
      <c r="B127" t="str">
        <f>_xlfn.IFNA(IF(VLOOKUP(A127,MD!$A:$N,3,0) = "-","MEDION","PEAQ"),"")</f>
        <v/>
      </c>
    </row>
    <row r="128" spans="1:2" x14ac:dyDescent="0.2">
      <c r="A128" s="15">
        <v>99422</v>
      </c>
      <c r="B128" t="str">
        <f>_xlfn.IFNA(IF(VLOOKUP(A128,MD!$A:$N,3,0) = "-","MEDION","PEAQ"),"")</f>
        <v>PEAQ</v>
      </c>
    </row>
    <row r="129" spans="1:2" x14ac:dyDescent="0.2">
      <c r="A129" s="17">
        <v>20060730</v>
      </c>
      <c r="B129" t="str">
        <f>_xlfn.IFNA(IF(VLOOKUP(A129,MD!$A:$N,3,0) = "-","MEDION","PEAQ"),"")</f>
        <v/>
      </c>
    </row>
    <row r="130" spans="1:2" x14ac:dyDescent="0.2">
      <c r="A130" s="15">
        <v>99019</v>
      </c>
      <c r="B130" t="str">
        <f>_xlfn.IFNA(IF(VLOOKUP(A130,MD!$A:$N,3,0) = "-","MEDION","PEAQ"),"")</f>
        <v>PEAQ</v>
      </c>
    </row>
    <row r="131" spans="1:2" x14ac:dyDescent="0.2">
      <c r="A131" s="15">
        <v>99452</v>
      </c>
      <c r="B131" t="str">
        <f>_xlfn.IFNA(IF(VLOOKUP(A131,MD!$A:$N,3,0) = "-","MEDION","PEAQ"),"")</f>
        <v>PEAQ</v>
      </c>
    </row>
    <row r="132" spans="1:2" x14ac:dyDescent="0.2">
      <c r="A132" s="15">
        <v>99689</v>
      </c>
      <c r="B132" t="str">
        <f>_xlfn.IFNA(IF(VLOOKUP(A132,MD!$A:$N,3,0) = "-","MEDION","PEAQ"),"")</f>
        <v>PEAQ</v>
      </c>
    </row>
    <row r="133" spans="1:2" x14ac:dyDescent="0.2">
      <c r="A133" s="17">
        <v>20060809</v>
      </c>
      <c r="B133" t="str">
        <f>_xlfn.IFNA(IF(VLOOKUP(A133,MD!$A:$N,3,0) = "-","MEDION","PEAQ"),"")</f>
        <v/>
      </c>
    </row>
    <row r="134" spans="1:2" x14ac:dyDescent="0.2">
      <c r="A134" s="15">
        <v>60172</v>
      </c>
      <c r="B134" t="str">
        <f>_xlfn.IFNA(IF(VLOOKUP(A134,MD!$A:$N,3,0) = "-","MEDION","PEAQ"),"")</f>
        <v>PEAQ</v>
      </c>
    </row>
    <row r="135" spans="1:2" x14ac:dyDescent="0.2">
      <c r="A135" s="15">
        <v>99680</v>
      </c>
      <c r="B135" t="str">
        <f>_xlfn.IFNA(IF(VLOOKUP(A135,MD!$A:$N,3,0) = "-","MEDION","PEAQ"),"")</f>
        <v>PEAQ</v>
      </c>
    </row>
    <row r="136" spans="1:2" x14ac:dyDescent="0.2">
      <c r="A136" s="15">
        <v>99710</v>
      </c>
      <c r="B136" t="str">
        <f>_xlfn.IFNA(IF(VLOOKUP(A136,MD!$A:$N,3,0) = "-","MEDION","PEAQ"),"")</f>
        <v>PEAQ</v>
      </c>
    </row>
    <row r="137" spans="1:2" x14ac:dyDescent="0.2">
      <c r="A137" s="15">
        <v>99863</v>
      </c>
      <c r="B137" t="str">
        <f>_xlfn.IFNA(IF(VLOOKUP(A137,MD!$A:$N,3,0) = "-","MEDION","PEAQ"),"")</f>
        <v>PEAQ</v>
      </c>
    </row>
    <row r="138" spans="1:2" x14ac:dyDescent="0.2">
      <c r="A138" s="15">
        <v>99714</v>
      </c>
      <c r="B138" t="str">
        <f>_xlfn.IFNA(IF(VLOOKUP(A138,MD!$A:$N,3,0) = "-","MEDION","PEAQ"),"")</f>
        <v>PEAQ</v>
      </c>
    </row>
    <row r="139" spans="1:2" x14ac:dyDescent="0.2">
      <c r="A139" s="17">
        <v>20060908</v>
      </c>
      <c r="B139" t="str">
        <f>_xlfn.IFNA(IF(VLOOKUP(A139,MD!$A:$N,3,0) = "-","MEDION","PEAQ"),"")</f>
        <v/>
      </c>
    </row>
    <row r="140" spans="1:2" x14ac:dyDescent="0.2">
      <c r="A140" s="15">
        <v>99377</v>
      </c>
      <c r="B140" t="str">
        <f>_xlfn.IFNA(IF(VLOOKUP(A140,MD!$A:$N,3,0) = "-","MEDION","PEAQ"),"")</f>
        <v>PEAQ</v>
      </c>
    </row>
    <row r="141" spans="1:2" x14ac:dyDescent="0.2">
      <c r="A141" s="15">
        <v>99249</v>
      </c>
      <c r="B141" t="str">
        <f>_xlfn.IFNA(IF(VLOOKUP(A141,MD!$A:$N,3,0) = "-","MEDION","PEAQ"),"")</f>
        <v>PEAQ</v>
      </c>
    </row>
    <row r="142" spans="1:2" x14ac:dyDescent="0.2">
      <c r="A142" s="17">
        <v>20060947</v>
      </c>
      <c r="B142" t="str">
        <f>_xlfn.IFNA(IF(VLOOKUP(A142,MD!$A:$N,3,0) = "-","MEDION","PEAQ"),"")</f>
        <v/>
      </c>
    </row>
    <row r="143" spans="1:2" x14ac:dyDescent="0.2">
      <c r="A143" s="15">
        <v>99499</v>
      </c>
      <c r="B143" t="str">
        <f>_xlfn.IFNA(IF(VLOOKUP(A143,MD!$A:$N,3,0) = "-","MEDION","PEAQ"),"")</f>
        <v>PEAQ</v>
      </c>
    </row>
    <row r="144" spans="1:2" x14ac:dyDescent="0.2">
      <c r="A144" s="15">
        <v>99530</v>
      </c>
      <c r="B144" t="str">
        <f>_xlfn.IFNA(IF(VLOOKUP(A144,MD!$A:$N,3,0) = "-","MEDION","PEAQ"),"")</f>
        <v>PEAQ</v>
      </c>
    </row>
    <row r="145" spans="1:2" x14ac:dyDescent="0.2">
      <c r="A145" s="15">
        <v>99544</v>
      </c>
      <c r="B145" t="str">
        <f>_xlfn.IFNA(IF(VLOOKUP(A145,MD!$A:$N,3,0) = "-","MEDION","PEAQ"),"")</f>
        <v>PEAQ</v>
      </c>
    </row>
    <row r="146" spans="1:2" x14ac:dyDescent="0.2">
      <c r="A146" s="15">
        <v>99560</v>
      </c>
      <c r="B146" t="str">
        <f>_xlfn.IFNA(IF(VLOOKUP(A146,MD!$A:$N,3,0) = "-","MEDION","PEAQ"),"")</f>
        <v>PEAQ</v>
      </c>
    </row>
    <row r="147" spans="1:2" x14ac:dyDescent="0.2">
      <c r="A147" s="17">
        <v>20061106</v>
      </c>
      <c r="B147" t="str">
        <f>_xlfn.IFNA(IF(VLOOKUP(A147,MD!$A:$N,3,0) = "-","MEDION","PEAQ"),"")</f>
        <v/>
      </c>
    </row>
    <row r="148" spans="1:2" x14ac:dyDescent="0.2">
      <c r="A148" s="15">
        <v>99371</v>
      </c>
      <c r="B148" t="str">
        <f>_xlfn.IFNA(IF(VLOOKUP(A148,MD!$A:$N,3,0) = "-","MEDION","PEAQ"),"")</f>
        <v>PEAQ</v>
      </c>
    </row>
    <row r="149" spans="1:2" x14ac:dyDescent="0.2">
      <c r="A149" s="17">
        <v>20061113</v>
      </c>
      <c r="B149" t="str">
        <f>_xlfn.IFNA(IF(VLOOKUP(A149,MD!$A:$N,3,0) = "-","MEDION","PEAQ"),"")</f>
        <v/>
      </c>
    </row>
    <row r="150" spans="1:2" x14ac:dyDescent="0.2">
      <c r="A150" s="15">
        <v>99615</v>
      </c>
      <c r="B150" t="str">
        <f>_xlfn.IFNA(IF(VLOOKUP(A150,MD!$A:$N,3,0) = "-","MEDION","PEAQ"),"")</f>
        <v>PEAQ</v>
      </c>
    </row>
    <row r="151" spans="1:2" x14ac:dyDescent="0.2">
      <c r="A151" s="17">
        <v>20061132</v>
      </c>
      <c r="B151" t="str">
        <f>_xlfn.IFNA(IF(VLOOKUP(A151,MD!$A:$N,3,0) = "-","MEDION","PEAQ"),"")</f>
        <v/>
      </c>
    </row>
    <row r="152" spans="1:2" x14ac:dyDescent="0.2">
      <c r="A152" s="15">
        <v>99149</v>
      </c>
      <c r="B152" t="str">
        <f>_xlfn.IFNA(IF(VLOOKUP(A152,MD!$A:$N,3,0) = "-","MEDION","PEAQ"),"")</f>
        <v>PEAQ</v>
      </c>
    </row>
    <row r="153" spans="1:2" x14ac:dyDescent="0.2">
      <c r="A153" s="17">
        <v>20061170</v>
      </c>
      <c r="B153" t="str">
        <f>_xlfn.IFNA(IF(VLOOKUP(A153,MD!$A:$N,3,0) = "-","MEDION","PEAQ"),"")</f>
        <v/>
      </c>
    </row>
    <row r="154" spans="1:2" x14ac:dyDescent="0.2">
      <c r="A154" s="15">
        <v>99574</v>
      </c>
      <c r="B154" t="str">
        <f>_xlfn.IFNA(IF(VLOOKUP(A154,MD!$A:$N,3,0) = "-","MEDION","PEAQ"),"")</f>
        <v>PEAQ</v>
      </c>
    </row>
    <row r="155" spans="1:2" x14ac:dyDescent="0.2">
      <c r="A155" s="15">
        <v>99576</v>
      </c>
      <c r="B155" t="str">
        <f>_xlfn.IFNA(IF(VLOOKUP(A155,MD!$A:$N,3,0) = "-","MEDION","PEAQ"),"")</f>
        <v>PEAQ</v>
      </c>
    </row>
    <row r="156" spans="1:2" x14ac:dyDescent="0.2">
      <c r="A156" s="15">
        <v>99651</v>
      </c>
      <c r="B156" t="str">
        <f>_xlfn.IFNA(IF(VLOOKUP(A156,MD!$A:$N,3,0) = "-","MEDION","PEAQ"),"")</f>
        <v>PEAQ</v>
      </c>
    </row>
    <row r="157" spans="1:2" x14ac:dyDescent="0.2">
      <c r="A157" s="17">
        <v>20061245</v>
      </c>
      <c r="B157" t="str">
        <f>_xlfn.IFNA(IF(VLOOKUP(A157,MD!$A:$N,3,0) = "-","MEDION","PEAQ"),"")</f>
        <v/>
      </c>
    </row>
    <row r="158" spans="1:2" x14ac:dyDescent="0.2">
      <c r="A158" s="15">
        <v>99667</v>
      </c>
      <c r="B158" t="str">
        <f>_xlfn.IFNA(IF(VLOOKUP(A158,MD!$A:$N,3,0) = "-","MEDION","PEAQ"),"")</f>
        <v>PEAQ</v>
      </c>
    </row>
    <row r="159" spans="1:2" x14ac:dyDescent="0.2">
      <c r="A159" s="17">
        <v>20061355</v>
      </c>
      <c r="B159" t="str">
        <f>_xlfn.IFNA(IF(VLOOKUP(A159,MD!$A:$N,3,0) = "-","MEDION","PEAQ"),"")</f>
        <v/>
      </c>
    </row>
    <row r="160" spans="1:2" x14ac:dyDescent="0.2">
      <c r="A160" s="15">
        <v>99690</v>
      </c>
      <c r="B160" t="str">
        <f>_xlfn.IFNA(IF(VLOOKUP(A160,MD!$A:$N,3,0) = "-","MEDION","PEAQ"),"")</f>
        <v>PEAQ</v>
      </c>
    </row>
    <row r="161" spans="1:2" x14ac:dyDescent="0.2">
      <c r="A161" s="17">
        <v>20061369</v>
      </c>
      <c r="B161" t="str">
        <f>_xlfn.IFNA(IF(VLOOKUP(A161,MD!$A:$N,3,0) = "-","MEDION","PEAQ"),"")</f>
        <v/>
      </c>
    </row>
    <row r="162" spans="1:2" x14ac:dyDescent="0.2">
      <c r="A162" s="15">
        <v>99613</v>
      </c>
      <c r="B162" t="str">
        <f>_xlfn.IFNA(IF(VLOOKUP(A162,MD!$A:$N,3,0) = "-","MEDION","PEAQ"),"")</f>
        <v>PEAQ</v>
      </c>
    </row>
    <row r="163" spans="1:2" x14ac:dyDescent="0.2">
      <c r="A163" s="15">
        <v>99724</v>
      </c>
      <c r="B163" t="str">
        <f>_xlfn.IFNA(IF(VLOOKUP(A163,MD!$A:$N,3,0) = "-","MEDION","PEAQ"),"")</f>
        <v>PEAQ</v>
      </c>
    </row>
    <row r="164" spans="1:2" x14ac:dyDescent="0.2">
      <c r="A164" s="15">
        <v>99751</v>
      </c>
      <c r="B164" t="str">
        <f>_xlfn.IFNA(IF(VLOOKUP(A164,MD!$A:$N,3,0) = "-","MEDION","PEAQ"),"")</f>
        <v>PEAQ</v>
      </c>
    </row>
    <row r="165" spans="1:2" x14ac:dyDescent="0.2">
      <c r="A165" s="17">
        <v>20061387</v>
      </c>
      <c r="B165" t="str">
        <f>_xlfn.IFNA(IF(VLOOKUP(A165,MD!$A:$N,3,0) = "-","MEDION","PEAQ"),"")</f>
        <v/>
      </c>
    </row>
    <row r="166" spans="1:2" x14ac:dyDescent="0.2">
      <c r="A166" s="15">
        <v>99495</v>
      </c>
      <c r="B166" t="str">
        <f>_xlfn.IFNA(IF(VLOOKUP(A166,MD!$A:$N,3,0) = "-","MEDION","PEAQ"),"")</f>
        <v>PEAQ</v>
      </c>
    </row>
    <row r="167" spans="1:2" x14ac:dyDescent="0.2">
      <c r="A167" s="15">
        <v>99580</v>
      </c>
      <c r="B167" t="str">
        <f>_xlfn.IFNA(IF(VLOOKUP(A167,MD!$A:$N,3,0) = "-","MEDION","PEAQ"),"")</f>
        <v>PEAQ</v>
      </c>
    </row>
    <row r="168" spans="1:2" x14ac:dyDescent="0.2">
      <c r="A168" s="15">
        <v>99610</v>
      </c>
      <c r="B168" t="str">
        <f>_xlfn.IFNA(IF(VLOOKUP(A168,MD!$A:$N,3,0) = "-","MEDION","PEAQ"),"")</f>
        <v>PEAQ</v>
      </c>
    </row>
    <row r="169" spans="1:2" x14ac:dyDescent="0.2">
      <c r="A169" s="15">
        <v>99620</v>
      </c>
      <c r="B169" t="str">
        <f>_xlfn.IFNA(IF(VLOOKUP(A169,MD!$A:$N,3,0) = "-","MEDION","PEAQ"),"")</f>
        <v>PEAQ</v>
      </c>
    </row>
    <row r="170" spans="1:2" x14ac:dyDescent="0.2">
      <c r="A170" s="15">
        <v>99640</v>
      </c>
      <c r="B170" t="str">
        <f>_xlfn.IFNA(IF(VLOOKUP(A170,MD!$A:$N,3,0) = "-","MEDION","PEAQ"),"")</f>
        <v>PEAQ</v>
      </c>
    </row>
    <row r="171" spans="1:2" x14ac:dyDescent="0.2">
      <c r="A171" s="17">
        <v>20061609</v>
      </c>
      <c r="B171" t="str">
        <f>_xlfn.IFNA(IF(VLOOKUP(A171,MD!$A:$N,3,0) = "-","MEDION","PEAQ"),"")</f>
        <v/>
      </c>
    </row>
    <row r="172" spans="1:2" x14ac:dyDescent="0.2">
      <c r="A172" s="15">
        <v>99771</v>
      </c>
      <c r="B172" t="str">
        <f>_xlfn.IFNA(IF(VLOOKUP(A172,MD!$A:$N,3,0) = "-","MEDION","PEAQ"),"")</f>
        <v>PEAQ</v>
      </c>
    </row>
    <row r="173" spans="1:2" x14ac:dyDescent="0.2">
      <c r="A173" s="15">
        <v>99782</v>
      </c>
      <c r="B173" t="str">
        <f>_xlfn.IFNA(IF(VLOOKUP(A173,MD!$A:$N,3,0) = "-","MEDION","PEAQ"),"")</f>
        <v>PEAQ</v>
      </c>
    </row>
    <row r="174" spans="1:2" x14ac:dyDescent="0.2">
      <c r="A174" s="15">
        <v>99783</v>
      </c>
      <c r="B174" t="str">
        <f>_xlfn.IFNA(IF(VLOOKUP(A174,MD!$A:$N,3,0) = "-","MEDION","PEAQ"),"")</f>
        <v>PEAQ</v>
      </c>
    </row>
    <row r="175" spans="1:2" x14ac:dyDescent="0.2">
      <c r="A175" s="15">
        <v>99831</v>
      </c>
      <c r="B175" t="str">
        <f>_xlfn.IFNA(IF(VLOOKUP(A175,MD!$A:$N,3,0) = "-","MEDION","PEAQ"),"")</f>
        <v>PEAQ</v>
      </c>
    </row>
    <row r="176" spans="1:2" x14ac:dyDescent="0.2">
      <c r="A176" s="17">
        <v>20061630</v>
      </c>
      <c r="B176" t="str">
        <f>_xlfn.IFNA(IF(VLOOKUP(A176,MD!$A:$N,3,0) = "-","MEDION","PEAQ"),"")</f>
        <v/>
      </c>
    </row>
    <row r="177" spans="1:2" x14ac:dyDescent="0.2">
      <c r="A177" s="15">
        <v>99595</v>
      </c>
      <c r="B177" t="str">
        <f>_xlfn.IFNA(IF(VLOOKUP(A177,MD!$A:$N,3,0) = "-","MEDION","PEAQ"),"")</f>
        <v>PEAQ</v>
      </c>
    </row>
    <row r="178" spans="1:2" x14ac:dyDescent="0.2">
      <c r="A178" s="17">
        <v>20061818</v>
      </c>
      <c r="B178" t="str">
        <f>_xlfn.IFNA(IF(VLOOKUP(A178,MD!$A:$N,3,0) = "-","MEDION","PEAQ"),"")</f>
        <v/>
      </c>
    </row>
    <row r="179" spans="1:2" x14ac:dyDescent="0.2">
      <c r="A179" s="15">
        <v>99790</v>
      </c>
      <c r="B179" t="str">
        <f>_xlfn.IFNA(IF(VLOOKUP(A179,MD!$A:$N,3,0) = "-","MEDION","PEAQ"),"")</f>
        <v>PEAQ</v>
      </c>
    </row>
    <row r="180" spans="1:2" x14ac:dyDescent="0.2">
      <c r="A180" s="15">
        <v>99854</v>
      </c>
      <c r="B180" t="str">
        <f>_xlfn.IFNA(IF(VLOOKUP(A180,MD!$A:$N,3,0) = "-","MEDION","PEAQ"),"")</f>
        <v>PEAQ</v>
      </c>
    </row>
    <row r="181" spans="1:2" x14ac:dyDescent="0.2">
      <c r="A181" s="15">
        <v>60014</v>
      </c>
      <c r="B181" t="str">
        <f>_xlfn.IFNA(IF(VLOOKUP(A181,MD!$A:$N,3,0) = "-","MEDION","PEAQ"),"")</f>
        <v>PEAQ</v>
      </c>
    </row>
    <row r="182" spans="1:2" x14ac:dyDescent="0.2">
      <c r="A182" s="17">
        <v>20061915</v>
      </c>
      <c r="B182" t="str">
        <f>_xlfn.IFNA(IF(VLOOKUP(A182,MD!$A:$N,3,0) = "-","MEDION","PEAQ"),"")</f>
        <v/>
      </c>
    </row>
    <row r="183" spans="1:2" x14ac:dyDescent="0.2">
      <c r="A183" s="15">
        <v>99901</v>
      </c>
      <c r="B183" t="str">
        <f>_xlfn.IFNA(IF(VLOOKUP(A183,MD!$A:$N,3,0) = "-","MEDION","PEAQ"),"")</f>
        <v>PEAQ</v>
      </c>
    </row>
    <row r="184" spans="1:2" x14ac:dyDescent="0.2">
      <c r="A184" s="15">
        <v>99903</v>
      </c>
      <c r="B184" t="str">
        <f>_xlfn.IFNA(IF(VLOOKUP(A184,MD!$A:$N,3,0) = "-","MEDION","PEAQ"),"")</f>
        <v>PEAQ</v>
      </c>
    </row>
    <row r="185" spans="1:2" x14ac:dyDescent="0.2">
      <c r="A185" s="15">
        <v>60487</v>
      </c>
      <c r="B185" t="str">
        <f>_xlfn.IFNA(IF(VLOOKUP(A185,MD!$A:$N,3,0) = "-","MEDION","PEAQ"),"")</f>
        <v>PEAQ</v>
      </c>
    </row>
    <row r="186" spans="1:2" x14ac:dyDescent="0.2">
      <c r="A186" s="17">
        <v>20062204</v>
      </c>
      <c r="B186" t="str">
        <f>_xlfn.IFNA(IF(VLOOKUP(A186,MD!$A:$N,3,0) = "-","MEDION","PEAQ"),"")</f>
        <v/>
      </c>
    </row>
    <row r="187" spans="1:2" x14ac:dyDescent="0.2">
      <c r="A187" s="15">
        <v>60116</v>
      </c>
      <c r="B187" t="str">
        <f>_xlfn.IFNA(IF(VLOOKUP(A187,MD!$A:$N,3,0) = "-","MEDION","PEAQ"),"")</f>
        <v>PEAQ</v>
      </c>
    </row>
    <row r="188" spans="1:2" x14ac:dyDescent="0.2">
      <c r="A188" s="15">
        <v>99954</v>
      </c>
      <c r="B188" t="str">
        <f>_xlfn.IFNA(IF(VLOOKUP(A188,MD!$A:$N,3,0) = "-","MEDION","PEAQ"),"")</f>
        <v>PEAQ</v>
      </c>
    </row>
    <row r="189" spans="1:2" x14ac:dyDescent="0.2">
      <c r="A189" s="15">
        <v>99958</v>
      </c>
      <c r="B189" t="str">
        <f>_xlfn.IFNA(IF(VLOOKUP(A189,MD!$A:$N,3,0) = "-","MEDION","PEAQ"),"")</f>
        <v>PEAQ</v>
      </c>
    </row>
    <row r="190" spans="1:2" x14ac:dyDescent="0.2">
      <c r="A190" s="15">
        <v>99964</v>
      </c>
      <c r="B190" t="str">
        <f>_xlfn.IFNA(IF(VLOOKUP(A190,MD!$A:$N,3,0) = "-","MEDION","PEAQ"),"")</f>
        <v>PEAQ</v>
      </c>
    </row>
    <row r="191" spans="1:2" x14ac:dyDescent="0.2">
      <c r="A191" s="15">
        <v>99963</v>
      </c>
      <c r="B191" t="str">
        <f>_xlfn.IFNA(IF(VLOOKUP(A191,MD!$A:$N,3,0) = "-","MEDION","PEAQ"),"")</f>
        <v>PEAQ</v>
      </c>
    </row>
    <row r="192" spans="1:2" x14ac:dyDescent="0.2">
      <c r="A192" s="17">
        <v>20062207</v>
      </c>
      <c r="B192" t="str">
        <f>_xlfn.IFNA(IF(VLOOKUP(A192,MD!$A:$N,3,0) = "-","MEDION","PEAQ"),"")</f>
        <v/>
      </c>
    </row>
    <row r="193" spans="1:2" x14ac:dyDescent="0.2">
      <c r="A193" s="15">
        <v>60028</v>
      </c>
      <c r="B193" t="str">
        <f>_xlfn.IFNA(IF(VLOOKUP(A193,MD!$A:$N,3,0) = "-","MEDION","PEAQ"),"")</f>
        <v>PEAQ</v>
      </c>
    </row>
    <row r="194" spans="1:2" x14ac:dyDescent="0.2">
      <c r="A194" s="15">
        <v>99934</v>
      </c>
      <c r="B194" t="str">
        <f>_xlfn.IFNA(IF(VLOOKUP(A194,MD!$A:$N,3,0) = "-","MEDION","PEAQ"),"")</f>
        <v>PEAQ</v>
      </c>
    </row>
    <row r="195" spans="1:2" x14ac:dyDescent="0.2">
      <c r="A195" s="17">
        <v>20062264</v>
      </c>
      <c r="B195" t="str">
        <f>_xlfn.IFNA(IF(VLOOKUP(A195,MD!$A:$N,3,0) = "-","MEDION","PEAQ"),"")</f>
        <v/>
      </c>
    </row>
    <row r="196" spans="1:2" x14ac:dyDescent="0.2">
      <c r="A196" s="15">
        <v>99597</v>
      </c>
      <c r="B196" t="str">
        <f>_xlfn.IFNA(IF(VLOOKUP(A196,MD!$A:$N,3,0) = "-","MEDION","PEAQ"),"")</f>
        <v>PEAQ</v>
      </c>
    </row>
    <row r="197" spans="1:2" x14ac:dyDescent="0.2">
      <c r="A197" s="15">
        <v>99832</v>
      </c>
      <c r="B197" t="str">
        <f>_xlfn.IFNA(IF(VLOOKUP(A197,MD!$A:$N,3,0) = "-","MEDION","PEAQ"),"")</f>
        <v>PEAQ</v>
      </c>
    </row>
    <row r="198" spans="1:2" x14ac:dyDescent="0.2">
      <c r="A198" s="15">
        <v>99973</v>
      </c>
      <c r="B198" t="str">
        <f>_xlfn.IFNA(IF(VLOOKUP(A198,MD!$A:$N,3,0) = "-","MEDION","PEAQ"),"")</f>
        <v>PEAQ</v>
      </c>
    </row>
    <row r="199" spans="1:2" x14ac:dyDescent="0.2">
      <c r="A199" s="17">
        <v>20062304</v>
      </c>
      <c r="B199" t="str">
        <f>_xlfn.IFNA(IF(VLOOKUP(A199,MD!$A:$N,3,0) = "-","MEDION","PEAQ"),"")</f>
        <v/>
      </c>
    </row>
    <row r="200" spans="1:2" x14ac:dyDescent="0.2">
      <c r="A200" s="15">
        <v>99348</v>
      </c>
      <c r="B200" t="str">
        <f>_xlfn.IFNA(IF(VLOOKUP(A200,MD!$A:$N,3,0) = "-","MEDION","PEAQ"),"")</f>
        <v>PEAQ</v>
      </c>
    </row>
    <row r="201" spans="1:2" x14ac:dyDescent="0.2">
      <c r="A201" s="15">
        <v>99779</v>
      </c>
      <c r="B201" t="str">
        <f>_xlfn.IFNA(IF(VLOOKUP(A201,MD!$A:$N,3,0) = "-","MEDION","PEAQ"),"")</f>
        <v>PEAQ</v>
      </c>
    </row>
    <row r="202" spans="1:2" x14ac:dyDescent="0.2">
      <c r="A202" s="17">
        <v>20062411</v>
      </c>
      <c r="B202" t="str">
        <f>_xlfn.IFNA(IF(VLOOKUP(A202,MD!$A:$N,3,0) = "-","MEDION","PEAQ"),"")</f>
        <v/>
      </c>
    </row>
    <row r="203" spans="1:2" x14ac:dyDescent="0.2">
      <c r="A203" s="15">
        <v>60078</v>
      </c>
      <c r="B203" t="str">
        <f>_xlfn.IFNA(IF(VLOOKUP(A203,MD!$A:$N,3,0) = "-","MEDION","PEAQ"),"")</f>
        <v>PEAQ</v>
      </c>
    </row>
    <row r="204" spans="1:2" x14ac:dyDescent="0.2">
      <c r="A204" s="15">
        <v>99874</v>
      </c>
      <c r="B204" t="str">
        <f>_xlfn.IFNA(IF(VLOOKUP(A204,MD!$A:$N,3,0) = "-","MEDION","PEAQ"),"")</f>
        <v>PEAQ</v>
      </c>
    </row>
    <row r="205" spans="1:2" x14ac:dyDescent="0.2">
      <c r="A205" s="17">
        <v>20062414</v>
      </c>
      <c r="B205" t="str">
        <f>_xlfn.IFNA(IF(VLOOKUP(A205,MD!$A:$N,3,0) = "-","MEDION","PEAQ"),"")</f>
        <v/>
      </c>
    </row>
    <row r="206" spans="1:2" x14ac:dyDescent="0.2">
      <c r="A206" s="15">
        <v>60407</v>
      </c>
      <c r="B206" t="str">
        <f>_xlfn.IFNA(IF(VLOOKUP(A206,MD!$A:$N,3,0) = "-","MEDION","PEAQ"),"")</f>
        <v>PEAQ</v>
      </c>
    </row>
    <row r="207" spans="1:2" x14ac:dyDescent="0.2">
      <c r="A207" s="17">
        <v>20062416</v>
      </c>
      <c r="B207" t="str">
        <f>_xlfn.IFNA(IF(VLOOKUP(A207,MD!$A:$N,3,0) = "-","MEDION","PEAQ"),"")</f>
        <v/>
      </c>
    </row>
    <row r="208" spans="1:2" x14ac:dyDescent="0.2">
      <c r="A208" s="15">
        <v>60373</v>
      </c>
      <c r="B208" t="str">
        <f>_xlfn.IFNA(IF(VLOOKUP(A208,MD!$A:$N,3,0) = "-","MEDION","PEAQ"),"")</f>
        <v>PEAQ</v>
      </c>
    </row>
    <row r="209" spans="1:2" x14ac:dyDescent="0.2">
      <c r="A209" s="17">
        <v>20062441</v>
      </c>
      <c r="B209" t="str">
        <f>_xlfn.IFNA(IF(VLOOKUP(A209,MD!$A:$N,3,0) = "-","MEDION","PEAQ"),"")</f>
        <v/>
      </c>
    </row>
    <row r="210" spans="1:2" x14ac:dyDescent="0.2">
      <c r="A210" s="15">
        <v>60091</v>
      </c>
      <c r="B210" t="str">
        <f>_xlfn.IFNA(IF(VLOOKUP(A210,MD!$A:$N,3,0) = "-","MEDION","PEAQ"),"")</f>
        <v>PEAQ</v>
      </c>
    </row>
    <row r="211" spans="1:2" x14ac:dyDescent="0.2">
      <c r="A211" s="15">
        <v>60094</v>
      </c>
      <c r="B211" t="str">
        <f>_xlfn.IFNA(IF(VLOOKUP(A211,MD!$A:$N,3,0) = "-","MEDION","PEAQ"),"")</f>
        <v>PEAQ</v>
      </c>
    </row>
    <row r="212" spans="1:2" x14ac:dyDescent="0.2">
      <c r="A212" s="15">
        <v>99856</v>
      </c>
      <c r="B212" t="str">
        <f>_xlfn.IFNA(IF(VLOOKUP(A212,MD!$A:$N,3,0) = "-","MEDION","PEAQ"),"")</f>
        <v>PEAQ</v>
      </c>
    </row>
    <row r="213" spans="1:2" x14ac:dyDescent="0.2">
      <c r="A213" s="15">
        <v>99868</v>
      </c>
      <c r="B213" t="str">
        <f>_xlfn.IFNA(IF(VLOOKUP(A213,MD!$A:$N,3,0) = "-","MEDION","PEAQ"),"")</f>
        <v>PEAQ</v>
      </c>
    </row>
    <row r="214" spans="1:2" x14ac:dyDescent="0.2">
      <c r="A214" s="15">
        <v>60093</v>
      </c>
      <c r="B214" t="str">
        <f>_xlfn.IFNA(IF(VLOOKUP(A214,MD!$A:$N,3,0) = "-","MEDION","PEAQ"),"")</f>
        <v>PEAQ</v>
      </c>
    </row>
    <row r="215" spans="1:2" x14ac:dyDescent="0.2">
      <c r="A215" s="17">
        <v>20062447</v>
      </c>
      <c r="B215" t="str">
        <f>_xlfn.IFNA(IF(VLOOKUP(A215,MD!$A:$N,3,0) = "-","MEDION","PEAQ"),"")</f>
        <v/>
      </c>
    </row>
    <row r="216" spans="1:2" x14ac:dyDescent="0.2">
      <c r="A216" s="15">
        <v>99930</v>
      </c>
      <c r="B216" t="str">
        <f>_xlfn.IFNA(IF(VLOOKUP(A216,MD!$A:$N,3,0) = "-","MEDION","PEAQ"),"")</f>
        <v>PEAQ</v>
      </c>
    </row>
    <row r="217" spans="1:2" x14ac:dyDescent="0.2">
      <c r="A217" s="15">
        <v>99970</v>
      </c>
      <c r="B217" t="str">
        <f>_xlfn.IFNA(IF(VLOOKUP(A217,MD!$A:$N,3,0) = "-","MEDION","PEAQ"),"")</f>
        <v>PEAQ</v>
      </c>
    </row>
    <row r="218" spans="1:2" x14ac:dyDescent="0.2">
      <c r="A218" s="15">
        <v>60450</v>
      </c>
      <c r="B218" t="str">
        <f>_xlfn.IFNA(IF(VLOOKUP(A218,MD!$A:$N,3,0) = "-","MEDION","PEAQ"),"")</f>
        <v>PEAQ</v>
      </c>
    </row>
    <row r="219" spans="1:2" x14ac:dyDescent="0.2">
      <c r="A219" s="15">
        <v>60665</v>
      </c>
      <c r="B219" t="str">
        <f>_xlfn.IFNA(IF(VLOOKUP(A219,MD!$A:$N,3,0) = "-","MEDION","PEAQ"),"")</f>
        <v>PEAQ</v>
      </c>
    </row>
    <row r="220" spans="1:2" x14ac:dyDescent="0.2">
      <c r="A220" s="15">
        <v>60109</v>
      </c>
      <c r="B220" t="str">
        <f>_xlfn.IFNA(IF(VLOOKUP(A220,MD!$A:$N,3,0) = "-","MEDION","PEAQ"),"")</f>
        <v>PEAQ</v>
      </c>
    </row>
    <row r="221" spans="1:2" x14ac:dyDescent="0.2">
      <c r="A221" s="15">
        <v>60112</v>
      </c>
      <c r="B221" t="str">
        <f>_xlfn.IFNA(IF(VLOOKUP(A221,MD!$A:$N,3,0) = "-","MEDION","PEAQ"),"")</f>
        <v>PEAQ</v>
      </c>
    </row>
    <row r="222" spans="1:2" x14ac:dyDescent="0.2">
      <c r="A222" s="15">
        <v>60555</v>
      </c>
      <c r="B222" t="str">
        <f>_xlfn.IFNA(IF(VLOOKUP(A222,MD!$A:$N,3,0) = "-","MEDION","PEAQ"),"")</f>
        <v>PEAQ</v>
      </c>
    </row>
    <row r="223" spans="1:2" x14ac:dyDescent="0.2">
      <c r="A223" s="15">
        <v>60106</v>
      </c>
      <c r="B223" t="str">
        <f>_xlfn.IFNA(IF(VLOOKUP(A223,MD!$A:$N,3,0) = "-","MEDION","PEAQ"),"")</f>
        <v>PEAQ</v>
      </c>
    </row>
    <row r="224" spans="1:2" x14ac:dyDescent="0.2">
      <c r="A224" s="15">
        <v>60107</v>
      </c>
      <c r="B224" t="str">
        <f>_xlfn.IFNA(IF(VLOOKUP(A224,MD!$A:$N,3,0) = "-","MEDION","PEAQ"),"")</f>
        <v>PEAQ</v>
      </c>
    </row>
    <row r="225" spans="1:2" x14ac:dyDescent="0.2">
      <c r="A225" s="15">
        <v>60554</v>
      </c>
      <c r="B225" t="str">
        <f>_xlfn.IFNA(IF(VLOOKUP(A225,MD!$A:$N,3,0) = "-","MEDION","PEAQ"),"")</f>
        <v>PEAQ</v>
      </c>
    </row>
    <row r="226" spans="1:2" x14ac:dyDescent="0.2">
      <c r="A226" s="15">
        <v>60105</v>
      </c>
      <c r="B226" t="str">
        <f>_xlfn.IFNA(IF(VLOOKUP(A226,MD!$A:$N,3,0) = "-","MEDION","PEAQ"),"")</f>
        <v>PEAQ</v>
      </c>
    </row>
    <row r="227" spans="1:2" x14ac:dyDescent="0.2">
      <c r="A227" s="15">
        <v>60104</v>
      </c>
      <c r="B227" t="str">
        <f>_xlfn.IFNA(IF(VLOOKUP(A227,MD!$A:$N,3,0) = "-","MEDION","PEAQ"),"")</f>
        <v>PEAQ</v>
      </c>
    </row>
    <row r="228" spans="1:2" x14ac:dyDescent="0.2">
      <c r="A228" s="17">
        <v>20062458</v>
      </c>
      <c r="B228" t="str">
        <f>_xlfn.IFNA(IF(VLOOKUP(A228,MD!$A:$N,3,0) = "-","MEDION","PEAQ"),"")</f>
        <v/>
      </c>
    </row>
    <row r="229" spans="1:2" x14ac:dyDescent="0.2">
      <c r="A229" s="15">
        <v>60025</v>
      </c>
      <c r="B229" t="str">
        <f>_xlfn.IFNA(IF(VLOOKUP(A229,MD!$A:$N,3,0) = "-","MEDION","PEAQ"),"")</f>
        <v>PEAQ</v>
      </c>
    </row>
    <row r="230" spans="1:2" x14ac:dyDescent="0.2">
      <c r="A230" s="15">
        <v>60092</v>
      </c>
      <c r="B230" t="str">
        <f>_xlfn.IFNA(IF(VLOOKUP(A230,MD!$A:$N,3,0) = "-","MEDION","PEAQ"),"")</f>
        <v>PEAQ</v>
      </c>
    </row>
    <row r="231" spans="1:2" x14ac:dyDescent="0.2">
      <c r="A231" s="15">
        <v>99830</v>
      </c>
      <c r="B231" t="str">
        <f>_xlfn.IFNA(IF(VLOOKUP(A231,MD!$A:$N,3,0) = "-","MEDION","PEAQ"),"")</f>
        <v>PEAQ</v>
      </c>
    </row>
    <row r="232" spans="1:2" x14ac:dyDescent="0.2">
      <c r="A232" s="15">
        <v>99850</v>
      </c>
      <c r="B232" t="str">
        <f>_xlfn.IFNA(IF(VLOOKUP(A232,MD!$A:$N,3,0) = "-","MEDION","PEAQ"),"")</f>
        <v>PEAQ</v>
      </c>
    </row>
    <row r="233" spans="1:2" x14ac:dyDescent="0.2">
      <c r="A233" s="15">
        <v>99880</v>
      </c>
      <c r="B233" t="str">
        <f>_xlfn.IFNA(IF(VLOOKUP(A233,MD!$A:$N,3,0) = "-","MEDION","PEAQ"),"")</f>
        <v>PEAQ</v>
      </c>
    </row>
    <row r="234" spans="1:2" x14ac:dyDescent="0.2">
      <c r="A234" s="15">
        <v>99890</v>
      </c>
      <c r="B234" t="str">
        <f>_xlfn.IFNA(IF(VLOOKUP(A234,MD!$A:$N,3,0) = "-","MEDION","PEAQ"),"")</f>
        <v>PEAQ</v>
      </c>
    </row>
    <row r="235" spans="1:2" x14ac:dyDescent="0.2">
      <c r="A235" s="15">
        <v>99898</v>
      </c>
      <c r="B235" t="str">
        <f>_xlfn.IFNA(IF(VLOOKUP(A235,MD!$A:$N,3,0) = "-","MEDION","PEAQ"),"")</f>
        <v>PEAQ</v>
      </c>
    </row>
    <row r="236" spans="1:2" x14ac:dyDescent="0.2">
      <c r="A236" s="15">
        <v>99920</v>
      </c>
      <c r="B236" t="str">
        <f>_xlfn.IFNA(IF(VLOOKUP(A236,MD!$A:$N,3,0) = "-","MEDION","PEAQ"),"")</f>
        <v>PEAQ</v>
      </c>
    </row>
    <row r="237" spans="1:2" x14ac:dyDescent="0.2">
      <c r="A237" s="15">
        <v>99949</v>
      </c>
      <c r="B237" t="str">
        <f>_xlfn.IFNA(IF(VLOOKUP(A237,MD!$A:$N,3,0) = "-","MEDION","PEAQ"),"")</f>
        <v>PEAQ</v>
      </c>
    </row>
    <row r="238" spans="1:2" x14ac:dyDescent="0.2">
      <c r="A238" s="15" t="s">
        <v>514</v>
      </c>
      <c r="B238" t="str">
        <f>_xlfn.IFNA(IF(VLOOKUP(A238,MD!$A:$N,3,0) = "-","MEDION","PEAQ"),"")</f>
        <v>PEAQ</v>
      </c>
    </row>
    <row r="239" spans="1:2" x14ac:dyDescent="0.2">
      <c r="A239" s="15">
        <v>60260</v>
      </c>
      <c r="B239" t="str">
        <f>_xlfn.IFNA(IF(VLOOKUP(A239,MD!$A:$N,3,0) = "-","MEDION","PEAQ"),"")</f>
        <v>PEAQ</v>
      </c>
    </row>
    <row r="240" spans="1:2" x14ac:dyDescent="0.2">
      <c r="A240" s="15">
        <v>60126</v>
      </c>
      <c r="B240" t="str">
        <f>_xlfn.IFNA(IF(VLOOKUP(A240,MD!$A:$N,3,0) = "-","MEDION","PEAQ"),"")</f>
        <v>PEAQ</v>
      </c>
    </row>
    <row r="241" spans="1:2" x14ac:dyDescent="0.2">
      <c r="A241" s="15" t="s">
        <v>1226</v>
      </c>
      <c r="B241" t="str">
        <f>_xlfn.IFNA(IF(VLOOKUP(A241,MD!$A:$N,3,0) = "-","MEDION","PEAQ"),"")</f>
        <v>PEAQ</v>
      </c>
    </row>
    <row r="242" spans="1:2" x14ac:dyDescent="0.2">
      <c r="A242" s="15" t="s">
        <v>1227</v>
      </c>
      <c r="B242" t="str">
        <f>_xlfn.IFNA(IF(VLOOKUP(A242,MD!$A:$N,3,0) = "-","MEDION","PEAQ"),"")</f>
        <v>PEAQ</v>
      </c>
    </row>
    <row r="243" spans="1:2" x14ac:dyDescent="0.2">
      <c r="A243" s="17">
        <v>20062524</v>
      </c>
      <c r="B243" t="str">
        <f>_xlfn.IFNA(IF(VLOOKUP(A243,MD!$A:$N,3,0) = "-","MEDION","PEAQ"),"")</f>
        <v/>
      </c>
    </row>
    <row r="244" spans="1:2" x14ac:dyDescent="0.2">
      <c r="A244" s="15">
        <v>60075</v>
      </c>
      <c r="B244" t="str">
        <f>_xlfn.IFNA(IF(VLOOKUP(A244,MD!$A:$N,3,0) = "-","MEDION","PEAQ"),"")</f>
        <v>PEAQ</v>
      </c>
    </row>
    <row r="245" spans="1:2" x14ac:dyDescent="0.2">
      <c r="A245" s="15">
        <v>60195</v>
      </c>
      <c r="B245" t="str">
        <f>_xlfn.IFNA(IF(VLOOKUP(A245,MD!$A:$N,3,0) = "-","MEDION","PEAQ"),"")</f>
        <v>PEAQ</v>
      </c>
    </row>
    <row r="246" spans="1:2" x14ac:dyDescent="0.2">
      <c r="A246" s="15">
        <v>60254</v>
      </c>
      <c r="B246" t="str">
        <f>_xlfn.IFNA(IF(VLOOKUP(A246,MD!$A:$N,3,0) = "-","MEDION","PEAQ"),"")</f>
        <v>PEAQ</v>
      </c>
    </row>
    <row r="247" spans="1:2" x14ac:dyDescent="0.2">
      <c r="A247" s="15">
        <v>99860</v>
      </c>
      <c r="B247" t="str">
        <f>_xlfn.IFNA(IF(VLOOKUP(A247,MD!$A:$N,3,0) = "-","MEDION","PEAQ"),"")</f>
        <v>PEAQ</v>
      </c>
    </row>
    <row r="248" spans="1:2" x14ac:dyDescent="0.2">
      <c r="A248" s="15">
        <v>99870</v>
      </c>
      <c r="B248" t="str">
        <f>_xlfn.IFNA(IF(VLOOKUP(A248,MD!$A:$N,3,0) = "-","MEDION","PEAQ"),"")</f>
        <v>PEAQ</v>
      </c>
    </row>
    <row r="249" spans="1:2" x14ac:dyDescent="0.2">
      <c r="A249" s="17">
        <v>20062542</v>
      </c>
      <c r="B249" t="str">
        <f>_xlfn.IFNA(IF(VLOOKUP(A249,MD!$A:$N,3,0) = "-","MEDION","PEAQ"),"")</f>
        <v/>
      </c>
    </row>
    <row r="250" spans="1:2" x14ac:dyDescent="0.2">
      <c r="A250" s="15">
        <v>99700</v>
      </c>
      <c r="B250" t="str">
        <f>_xlfn.IFNA(IF(VLOOKUP(A250,MD!$A:$N,3,0) = "-","MEDION","PEAQ"),"")</f>
        <v>PEAQ</v>
      </c>
    </row>
    <row r="251" spans="1:2" x14ac:dyDescent="0.2">
      <c r="A251" s="15">
        <v>99720</v>
      </c>
      <c r="B251" t="str">
        <f>_xlfn.IFNA(IF(VLOOKUP(A251,MD!$A:$N,3,0) = "-","MEDION","PEAQ"),"")</f>
        <v>PEAQ</v>
      </c>
    </row>
    <row r="252" spans="1:2" x14ac:dyDescent="0.2">
      <c r="A252" s="17">
        <v>20062667</v>
      </c>
      <c r="B252" t="str">
        <f>_xlfn.IFNA(IF(VLOOKUP(A252,MD!$A:$N,3,0) = "-","MEDION","PEAQ"),"")</f>
        <v/>
      </c>
    </row>
    <row r="253" spans="1:2" x14ac:dyDescent="0.2">
      <c r="A253" s="15">
        <v>60198</v>
      </c>
      <c r="B253" t="str">
        <f>_xlfn.IFNA(IF(VLOOKUP(A253,MD!$A:$N,3,0) = "-","MEDION","PEAQ"),"")</f>
        <v>PEAQ</v>
      </c>
    </row>
    <row r="254" spans="1:2" x14ac:dyDescent="0.2">
      <c r="A254" s="15">
        <v>60256</v>
      </c>
      <c r="B254" t="str">
        <f>_xlfn.IFNA(IF(VLOOKUP(A254,MD!$A:$N,3,0) = "-","MEDION","PEAQ"),"")</f>
        <v>PEAQ</v>
      </c>
    </row>
    <row r="255" spans="1:2" x14ac:dyDescent="0.2">
      <c r="A255" s="15">
        <v>99940</v>
      </c>
      <c r="B255" t="str">
        <f>_xlfn.IFNA(IF(VLOOKUP(A255,MD!$A:$N,3,0) = "-","MEDION","PEAQ"),"")</f>
        <v>PEAQ</v>
      </c>
    </row>
    <row r="256" spans="1:2" x14ac:dyDescent="0.2">
      <c r="A256" s="15">
        <v>60252</v>
      </c>
      <c r="B256" t="str">
        <f>_xlfn.IFNA(IF(VLOOKUP(A256,MD!$A:$N,3,0) = "-","MEDION","PEAQ"),"")</f>
        <v>PEAQ</v>
      </c>
    </row>
    <row r="257" spans="1:2" x14ac:dyDescent="0.2">
      <c r="A257" s="15">
        <v>60251</v>
      </c>
      <c r="B257" t="str">
        <f>_xlfn.IFNA(IF(VLOOKUP(A257,MD!$A:$N,3,0) = "-","MEDION","PEAQ"),"")</f>
        <v>PEAQ</v>
      </c>
    </row>
    <row r="258" spans="1:2" x14ac:dyDescent="0.2">
      <c r="A258" s="15">
        <v>60213</v>
      </c>
      <c r="B258" t="str">
        <f>_xlfn.IFNA(IF(VLOOKUP(A258,MD!$A:$N,3,0) = "-","MEDION","PEAQ"),"")</f>
        <v>PEAQ</v>
      </c>
    </row>
    <row r="259" spans="1:2" x14ac:dyDescent="0.2">
      <c r="A259" s="15">
        <v>60214</v>
      </c>
      <c r="B259" t="str">
        <f>_xlfn.IFNA(IF(VLOOKUP(A259,MD!$A:$N,3,0) = "-","MEDION","PEAQ"),"")</f>
        <v>PEAQ</v>
      </c>
    </row>
    <row r="260" spans="1:2" x14ac:dyDescent="0.2">
      <c r="A260" s="15">
        <v>60230</v>
      </c>
      <c r="B260" t="str">
        <f>_xlfn.IFNA(IF(VLOOKUP(A260,MD!$A:$N,3,0) = "-","MEDION","PEAQ"),"")</f>
        <v>PEAQ</v>
      </c>
    </row>
    <row r="261" spans="1:2" x14ac:dyDescent="0.2">
      <c r="A261" s="15">
        <v>60229</v>
      </c>
      <c r="B261" t="str">
        <f>_xlfn.IFNA(IF(VLOOKUP(A261,MD!$A:$N,3,0) = "-","MEDION","PEAQ"),"")</f>
        <v>PEAQ</v>
      </c>
    </row>
    <row r="262" spans="1:2" x14ac:dyDescent="0.2">
      <c r="A262" s="15">
        <v>60281</v>
      </c>
      <c r="B262" t="str">
        <f>_xlfn.IFNA(IF(VLOOKUP(A262,MD!$A:$N,3,0) = "-","MEDION","PEAQ"),"")</f>
        <v>PEAQ</v>
      </c>
    </row>
    <row r="263" spans="1:2" x14ac:dyDescent="0.2">
      <c r="A263" s="15">
        <v>60224</v>
      </c>
      <c r="B263" t="str">
        <f>_xlfn.IFNA(IF(VLOOKUP(A263,MD!$A:$N,3,0) = "-","MEDION","PEAQ"),"")</f>
        <v>PEAQ</v>
      </c>
    </row>
    <row r="264" spans="1:2" x14ac:dyDescent="0.2">
      <c r="A264" s="15">
        <v>60301</v>
      </c>
      <c r="B264" t="str">
        <f>_xlfn.IFNA(IF(VLOOKUP(A264,MD!$A:$N,3,0) = "-","MEDION","PEAQ"),"")</f>
        <v>PEAQ</v>
      </c>
    </row>
    <row r="265" spans="1:2" x14ac:dyDescent="0.2">
      <c r="A265" s="15">
        <v>60233</v>
      </c>
      <c r="B265" t="str">
        <f>_xlfn.IFNA(IF(VLOOKUP(A265,MD!$A:$N,3,0) = "-","MEDION","PEAQ"),"")</f>
        <v>PEAQ</v>
      </c>
    </row>
    <row r="266" spans="1:2" x14ac:dyDescent="0.2">
      <c r="A266" s="15">
        <v>60186</v>
      </c>
      <c r="B266" t="str">
        <f>_xlfn.IFNA(IF(VLOOKUP(A266,MD!$A:$N,3,0) = "-","MEDION","PEAQ"),"")</f>
        <v>PEAQ</v>
      </c>
    </row>
    <row r="267" spans="1:2" x14ac:dyDescent="0.2">
      <c r="A267" s="15">
        <v>60187</v>
      </c>
      <c r="B267" t="str">
        <f>_xlfn.IFNA(IF(VLOOKUP(A267,MD!$A:$N,3,0) = "-","MEDION","PEAQ"),"")</f>
        <v>PEAQ</v>
      </c>
    </row>
    <row r="268" spans="1:2" x14ac:dyDescent="0.2">
      <c r="A268" s="15">
        <v>60285</v>
      </c>
      <c r="B268" t="str">
        <f>_xlfn.IFNA(IF(VLOOKUP(A268,MD!$A:$N,3,0) = "-","MEDION","PEAQ"),"")</f>
        <v>PEAQ</v>
      </c>
    </row>
    <row r="269" spans="1:2" x14ac:dyDescent="0.2">
      <c r="A269" s="15">
        <v>60170</v>
      </c>
      <c r="B269" t="str">
        <f>_xlfn.IFNA(IF(VLOOKUP(A269,MD!$A:$N,3,0) = "-","MEDION","PEAQ"),"")</f>
        <v>PEAQ</v>
      </c>
    </row>
    <row r="270" spans="1:2" x14ac:dyDescent="0.2">
      <c r="A270" s="17">
        <v>20063219</v>
      </c>
      <c r="B270" t="str">
        <f>_xlfn.IFNA(IF(VLOOKUP(A270,MD!$A:$N,3,0) = "-","MEDION","PEAQ"),"")</f>
        <v/>
      </c>
    </row>
    <row r="271" spans="1:2" x14ac:dyDescent="0.2">
      <c r="A271" s="15">
        <v>60101</v>
      </c>
      <c r="B271" t="str">
        <f>_xlfn.IFNA(IF(VLOOKUP(A271,MD!$A:$N,3,0) = "-","MEDION","PEAQ"),"")</f>
        <v>PEAQ</v>
      </c>
    </row>
    <row r="272" spans="1:2" x14ac:dyDescent="0.2">
      <c r="A272" s="15">
        <v>60103</v>
      </c>
      <c r="B272" t="str">
        <f>_xlfn.IFNA(IF(VLOOKUP(A272,MD!$A:$N,3,0) = "-","MEDION","PEAQ"),"")</f>
        <v>PEAQ</v>
      </c>
    </row>
    <row r="273" spans="1:2" x14ac:dyDescent="0.2">
      <c r="A273" s="15">
        <v>60258</v>
      </c>
      <c r="B273" t="str">
        <f>_xlfn.IFNA(IF(VLOOKUP(A273,MD!$A:$N,3,0) = "-","MEDION","PEAQ"),"")</f>
        <v>PEAQ</v>
      </c>
    </row>
    <row r="274" spans="1:2" x14ac:dyDescent="0.2">
      <c r="A274" s="15">
        <v>99660</v>
      </c>
      <c r="B274" t="str">
        <f>_xlfn.IFNA(IF(VLOOKUP(A274,MD!$A:$N,3,0) = "-","MEDION","PEAQ"),"")</f>
        <v>PEAQ</v>
      </c>
    </row>
    <row r="275" spans="1:2" x14ac:dyDescent="0.2">
      <c r="A275" s="15">
        <v>99810</v>
      </c>
      <c r="B275" t="str">
        <f>_xlfn.IFNA(IF(VLOOKUP(A275,MD!$A:$N,3,0) = "-","MEDION","PEAQ"),"")</f>
        <v>PEAQ</v>
      </c>
    </row>
    <row r="276" spans="1:2" x14ac:dyDescent="0.2">
      <c r="A276" s="15">
        <v>99820</v>
      </c>
      <c r="B276" t="str">
        <f>_xlfn.IFNA(IF(VLOOKUP(A276,MD!$A:$N,3,0) = "-","MEDION","PEAQ"),"")</f>
        <v>PEAQ</v>
      </c>
    </row>
    <row r="277" spans="1:2" x14ac:dyDescent="0.2">
      <c r="A277" s="15">
        <v>99862</v>
      </c>
      <c r="B277" t="str">
        <f>_xlfn.IFNA(IF(VLOOKUP(A277,MD!$A:$N,3,0) = "-","MEDION","PEAQ"),"")</f>
        <v>PEAQ</v>
      </c>
    </row>
    <row r="278" spans="1:2" x14ac:dyDescent="0.2">
      <c r="A278" s="15">
        <v>99876</v>
      </c>
      <c r="B278" t="str">
        <f>_xlfn.IFNA(IF(VLOOKUP(A278,MD!$A:$N,3,0) = "-","MEDION","PEAQ"),"")</f>
        <v>PEAQ</v>
      </c>
    </row>
    <row r="279" spans="1:2" x14ac:dyDescent="0.2">
      <c r="A279" s="15">
        <v>60027</v>
      </c>
      <c r="B279" t="str">
        <f>_xlfn.IFNA(IF(VLOOKUP(A279,MD!$A:$N,3,0) = "-","MEDION","PEAQ"),"")</f>
        <v>PEAQ</v>
      </c>
    </row>
    <row r="280" spans="1:2" x14ac:dyDescent="0.2">
      <c r="A280" s="17">
        <v>20063241</v>
      </c>
      <c r="B280" t="str">
        <f>_xlfn.IFNA(IF(VLOOKUP(A280,MD!$A:$N,3,0) = "-","MEDION","PEAQ"),"")</f>
        <v/>
      </c>
    </row>
    <row r="281" spans="1:2" x14ac:dyDescent="0.2">
      <c r="A281" s="15">
        <v>60196</v>
      </c>
      <c r="B281" t="str">
        <f>_xlfn.IFNA(IF(VLOOKUP(A281,MD!$A:$N,3,0) = "-","MEDION","PEAQ"),"")</f>
        <v>PEAQ</v>
      </c>
    </row>
    <row r="282" spans="1:2" x14ac:dyDescent="0.2">
      <c r="A282" s="15">
        <v>99650</v>
      </c>
      <c r="B282" t="str">
        <f>_xlfn.IFNA(IF(VLOOKUP(A282,MD!$A:$N,3,0) = "-","MEDION","PEAQ"),"")</f>
        <v>PEAQ</v>
      </c>
    </row>
    <row r="283" spans="1:2" x14ac:dyDescent="0.2">
      <c r="A283" s="15">
        <v>60383</v>
      </c>
      <c r="B283" t="str">
        <f>_xlfn.IFNA(IF(VLOOKUP(A283,MD!$A:$N,3,0) = "-","MEDION","PEAQ"),"")</f>
        <v>PEAQ</v>
      </c>
    </row>
    <row r="284" spans="1:2" x14ac:dyDescent="0.2">
      <c r="A284" s="15">
        <v>99841</v>
      </c>
      <c r="B284" t="str">
        <f>_xlfn.IFNA(IF(VLOOKUP(A284,MD!$A:$N,3,0) = "-","MEDION","PEAQ"),"")</f>
        <v>PEAQ</v>
      </c>
    </row>
    <row r="285" spans="1:2" x14ac:dyDescent="0.2">
      <c r="A285" s="15">
        <v>60397</v>
      </c>
      <c r="B285" t="str">
        <f>_xlfn.IFNA(IF(VLOOKUP(A285,MD!$A:$N,3,0) = "-","MEDION","PEAQ"),"")</f>
        <v>PEAQ</v>
      </c>
    </row>
    <row r="286" spans="1:2" x14ac:dyDescent="0.2">
      <c r="A286" s="15">
        <v>99956</v>
      </c>
      <c r="B286" t="str">
        <f>_xlfn.IFNA(IF(VLOOKUP(A286,MD!$A:$N,3,0) = "-","MEDION","PEAQ"),"")</f>
        <v>PEAQ</v>
      </c>
    </row>
    <row r="287" spans="1:2" x14ac:dyDescent="0.2">
      <c r="A287" s="15">
        <v>99962</v>
      </c>
      <c r="B287" t="str">
        <f>_xlfn.IFNA(IF(VLOOKUP(A287,MD!$A:$N,3,0) = "-","MEDION","PEAQ"),"")</f>
        <v>PEAQ</v>
      </c>
    </row>
    <row r="288" spans="1:2" x14ac:dyDescent="0.2">
      <c r="A288" s="15">
        <v>99961</v>
      </c>
      <c r="B288" t="str">
        <f>_xlfn.IFNA(IF(VLOOKUP(A288,MD!$A:$N,3,0) = "-","MEDION","PEAQ"),"")</f>
        <v>PEAQ</v>
      </c>
    </row>
    <row r="289" spans="1:2" x14ac:dyDescent="0.2">
      <c r="A289" s="15">
        <v>60117</v>
      </c>
      <c r="B289" t="str">
        <f>_xlfn.IFNA(IF(VLOOKUP(A289,MD!$A:$N,3,0) = "-","MEDION","PEAQ"),"")</f>
        <v>PEAQ</v>
      </c>
    </row>
    <row r="290" spans="1:2" x14ac:dyDescent="0.2">
      <c r="A290" s="15">
        <v>99957</v>
      </c>
      <c r="B290" t="str">
        <f>_xlfn.IFNA(IF(VLOOKUP(A290,MD!$A:$N,3,0) = "-","MEDION","PEAQ"),"")</f>
        <v>PEAQ</v>
      </c>
    </row>
    <row r="291" spans="1:2" x14ac:dyDescent="0.2">
      <c r="A291" s="15">
        <v>99955</v>
      </c>
      <c r="B291" t="str">
        <f>_xlfn.IFNA(IF(VLOOKUP(A291,MD!$A:$N,3,0) = "-","MEDION","PEAQ"),"")</f>
        <v>PEAQ</v>
      </c>
    </row>
    <row r="292" spans="1:2" x14ac:dyDescent="0.2">
      <c r="A292" s="15">
        <v>60405</v>
      </c>
      <c r="B292" t="str">
        <f>_xlfn.IFNA(IF(VLOOKUP(A292,MD!$A:$N,3,0) = "-","MEDION","PEAQ"),"")</f>
        <v>PEAQ</v>
      </c>
    </row>
    <row r="293" spans="1:2" x14ac:dyDescent="0.2">
      <c r="A293" s="15">
        <v>60470</v>
      </c>
      <c r="B293" t="str">
        <f>_xlfn.IFNA(IF(VLOOKUP(A293,MD!$A:$N,3,0) = "-","MEDION","PEAQ"),"")</f>
        <v>PEAQ</v>
      </c>
    </row>
    <row r="294" spans="1:2" x14ac:dyDescent="0.2">
      <c r="A294" s="15">
        <v>60615</v>
      </c>
      <c r="B294" t="str">
        <f>_xlfn.IFNA(IF(VLOOKUP(A294,MD!$A:$N,3,0) = "-","MEDION","PEAQ"),"")</f>
        <v>PEAQ</v>
      </c>
    </row>
    <row r="295" spans="1:2" x14ac:dyDescent="0.2">
      <c r="A295" s="17">
        <v>20063379</v>
      </c>
      <c r="B295" t="str">
        <f>_xlfn.IFNA(IF(VLOOKUP(A295,MD!$A:$N,3,0) = "-","MEDION","PEAQ"),"")</f>
        <v/>
      </c>
    </row>
    <row r="296" spans="1:2" x14ac:dyDescent="0.2">
      <c r="A296" s="15">
        <v>99960</v>
      </c>
      <c r="B296" t="str">
        <f>_xlfn.IFNA(IF(VLOOKUP(A296,MD!$A:$N,3,0) = "-","MEDION","PEAQ"),"")</f>
        <v>PEAQ</v>
      </c>
    </row>
    <row r="297" spans="1:2" x14ac:dyDescent="0.2">
      <c r="A297" s="15">
        <v>60400</v>
      </c>
      <c r="B297" t="str">
        <f>_xlfn.IFNA(IF(VLOOKUP(A297,MD!$A:$N,3,0) = "-","MEDION","PEAQ"),"")</f>
        <v>PEAQ</v>
      </c>
    </row>
    <row r="298" spans="1:2" x14ac:dyDescent="0.2">
      <c r="A298" s="15">
        <v>60395</v>
      </c>
      <c r="B298" t="str">
        <f>_xlfn.IFNA(IF(VLOOKUP(A298,MD!$A:$N,3,0) = "-","MEDION","PEAQ"),"")</f>
        <v>PEAQ</v>
      </c>
    </row>
    <row r="299" spans="1:2" x14ac:dyDescent="0.2">
      <c r="A299" s="15">
        <v>60488</v>
      </c>
      <c r="B299" t="str">
        <f>_xlfn.IFNA(IF(VLOOKUP(A299,MD!$A:$N,3,0) = "-","MEDION","PEAQ"),"")</f>
        <v>PEAQ</v>
      </c>
    </row>
    <row r="300" spans="1:2" x14ac:dyDescent="0.2">
      <c r="A300" s="17">
        <v>20063432</v>
      </c>
      <c r="B300" t="str">
        <f>_xlfn.IFNA(IF(VLOOKUP(A300,MD!$A:$N,3,0) = "-","MEDION","PEAQ"),"")</f>
        <v/>
      </c>
    </row>
    <row r="301" spans="1:2" x14ac:dyDescent="0.2">
      <c r="A301" s="15">
        <v>60178</v>
      </c>
      <c r="B301" t="str">
        <f>_xlfn.IFNA(IF(VLOOKUP(A301,MD!$A:$N,3,0) = "-","MEDION","PEAQ"),"")</f>
        <v>PEAQ</v>
      </c>
    </row>
    <row r="302" spans="1:2" x14ac:dyDescent="0.2">
      <c r="A302" s="15">
        <v>99670</v>
      </c>
      <c r="B302" t="str">
        <f>_xlfn.IFNA(IF(VLOOKUP(A302,MD!$A:$N,3,0) = "-","MEDION","PEAQ"),"")</f>
        <v>PEAQ</v>
      </c>
    </row>
    <row r="303" spans="1:2" x14ac:dyDescent="0.2">
      <c r="A303" s="15">
        <v>99713</v>
      </c>
      <c r="B303" t="str">
        <f>_xlfn.IFNA(IF(VLOOKUP(A303,MD!$A:$N,3,0) = "-","MEDION","PEAQ"),"")</f>
        <v>PEAQ</v>
      </c>
    </row>
    <row r="304" spans="1:2" x14ac:dyDescent="0.2">
      <c r="A304" s="15">
        <v>60411</v>
      </c>
      <c r="B304" t="str">
        <f>_xlfn.IFNA(IF(VLOOKUP(A304,MD!$A:$N,3,0) = "-","MEDION","PEAQ"),"")</f>
        <v>PEAQ</v>
      </c>
    </row>
    <row r="305" spans="1:2" x14ac:dyDescent="0.2">
      <c r="A305" s="17">
        <v>20063442</v>
      </c>
      <c r="B305" t="str">
        <f>_xlfn.IFNA(IF(VLOOKUP(A305,MD!$A:$N,3,0) = "-","MEDION","PEAQ"),"")</f>
        <v/>
      </c>
    </row>
    <row r="306" spans="1:2" x14ac:dyDescent="0.2">
      <c r="A306" s="15">
        <v>60257</v>
      </c>
      <c r="B306" t="str">
        <f>_xlfn.IFNA(IF(VLOOKUP(A306,MD!$A:$N,3,0) = "-","MEDION","PEAQ"),"")</f>
        <v>PEAQ</v>
      </c>
    </row>
    <row r="307" spans="1:2" x14ac:dyDescent="0.2">
      <c r="A307" s="15">
        <v>60219</v>
      </c>
      <c r="B307" t="str">
        <f>_xlfn.IFNA(IF(VLOOKUP(A307,MD!$A:$N,3,0) = "-","MEDION","PEAQ"),"")</f>
        <v>PEAQ</v>
      </c>
    </row>
    <row r="308" spans="1:2" x14ac:dyDescent="0.2">
      <c r="A308" s="15">
        <v>60423</v>
      </c>
      <c r="B308" t="str">
        <f>_xlfn.IFNA(IF(VLOOKUP(A308,MD!$A:$N,3,0) = "-","MEDION","PEAQ"),"")</f>
        <v>PEAQ</v>
      </c>
    </row>
    <row r="309" spans="1:2" x14ac:dyDescent="0.2">
      <c r="A309" s="15">
        <v>60424</v>
      </c>
      <c r="B309" t="str">
        <f>_xlfn.IFNA(IF(VLOOKUP(A309,MD!$A:$N,3,0) = "-","MEDION","PEAQ"),"")</f>
        <v>PEAQ</v>
      </c>
    </row>
    <row r="310" spans="1:2" x14ac:dyDescent="0.2">
      <c r="A310" s="15">
        <v>60600</v>
      </c>
      <c r="B310" t="str">
        <f>_xlfn.IFNA(IF(VLOOKUP(A310,MD!$A:$N,3,0) = "-","MEDION","PEAQ"),"")</f>
        <v>PEAQ</v>
      </c>
    </row>
    <row r="311" spans="1:2" x14ac:dyDescent="0.2">
      <c r="A311" s="15">
        <v>60617</v>
      </c>
      <c r="B311" t="str">
        <f>_xlfn.IFNA(IF(VLOOKUP(A311,MD!$A:$N,3,0) = "-","MEDION","PEAQ"),"")</f>
        <v>PEAQ</v>
      </c>
    </row>
    <row r="312" spans="1:2" x14ac:dyDescent="0.2">
      <c r="A312" s="15">
        <v>60415</v>
      </c>
      <c r="B312" t="str">
        <f>_xlfn.IFNA(IF(VLOOKUP(A312,MD!$A:$N,3,0) = "-","MEDION","PEAQ"),"")</f>
        <v>PEAQ</v>
      </c>
    </row>
    <row r="313" spans="1:2" x14ac:dyDescent="0.2">
      <c r="A313" s="15">
        <v>60417</v>
      </c>
      <c r="B313" t="str">
        <f>_xlfn.IFNA(IF(VLOOKUP(A313,MD!$A:$N,3,0) = "-","MEDION","PEAQ"),"")</f>
        <v>PEAQ</v>
      </c>
    </row>
    <row r="314" spans="1:2" x14ac:dyDescent="0.2">
      <c r="A314" s="17">
        <v>20063525</v>
      </c>
      <c r="B314" t="str">
        <f>_xlfn.IFNA(IF(VLOOKUP(A314,MD!$A:$N,3,0) = "-","MEDION","PEAQ"),"")</f>
        <v/>
      </c>
    </row>
    <row r="315" spans="1:2" x14ac:dyDescent="0.2">
      <c r="A315" s="15">
        <v>60150</v>
      </c>
      <c r="B315" t="str">
        <f>_xlfn.IFNA(IF(VLOOKUP(A315,MD!$A:$N,3,0) = "-","MEDION","PEAQ"),"")</f>
        <v>PEAQ</v>
      </c>
    </row>
    <row r="316" spans="1:2" x14ac:dyDescent="0.2">
      <c r="A316" s="15">
        <v>60444</v>
      </c>
      <c r="B316" t="str">
        <f>_xlfn.IFNA(IF(VLOOKUP(A316,MD!$A:$N,3,0) = "-","MEDION","PEAQ"),"")</f>
        <v>PEAQ</v>
      </c>
    </row>
    <row r="317" spans="1:2" x14ac:dyDescent="0.2">
      <c r="A317" s="17">
        <v>20063544</v>
      </c>
      <c r="B317" t="str">
        <f>_xlfn.IFNA(IF(VLOOKUP(A317,MD!$A:$N,3,0) = "-","MEDION","PEAQ"),"")</f>
        <v/>
      </c>
    </row>
    <row r="318" spans="1:2" x14ac:dyDescent="0.2">
      <c r="A318" s="15">
        <v>60100</v>
      </c>
      <c r="B318" t="str">
        <f>_xlfn.IFNA(IF(VLOOKUP(A318,MD!$A:$N,3,0) = "-","MEDION","PEAQ"),"")</f>
        <v>PEAQ</v>
      </c>
    </row>
    <row r="319" spans="1:2" x14ac:dyDescent="0.2">
      <c r="A319" s="15">
        <v>60194</v>
      </c>
      <c r="B319" t="str">
        <f>_xlfn.IFNA(IF(VLOOKUP(A319,MD!$A:$N,3,0) = "-","MEDION","PEAQ"),"")</f>
        <v>PEAQ</v>
      </c>
    </row>
    <row r="320" spans="1:2" x14ac:dyDescent="0.2">
      <c r="A320" s="17">
        <v>20063618</v>
      </c>
      <c r="B320" t="str">
        <f>_xlfn.IFNA(IF(VLOOKUP(A320,MD!$A:$N,3,0) = "-","MEDION","PEAQ"),"")</f>
        <v/>
      </c>
    </row>
    <row r="321" spans="1:2" x14ac:dyDescent="0.2">
      <c r="A321" s="15">
        <v>99980</v>
      </c>
      <c r="B321" t="str">
        <f>_xlfn.IFNA(IF(VLOOKUP(A321,MD!$A:$N,3,0) = "-","MEDION","PEAQ"),"")</f>
        <v>PEAQ</v>
      </c>
    </row>
    <row r="322" spans="1:2" x14ac:dyDescent="0.2">
      <c r="A322" s="15">
        <v>60434</v>
      </c>
      <c r="B322" t="str">
        <f>_xlfn.IFNA(IF(VLOOKUP(A322,MD!$A:$N,3,0) = "-","MEDION","PEAQ"),"")</f>
        <v>PEAQ</v>
      </c>
    </row>
    <row r="323" spans="1:2" x14ac:dyDescent="0.2">
      <c r="A323" s="15">
        <v>60595</v>
      </c>
      <c r="B323" t="str">
        <f>_xlfn.IFNA(IF(VLOOKUP(A323,MD!$A:$N,3,0) = "-","MEDION","PEAQ"),"")</f>
        <v>PEAQ</v>
      </c>
    </row>
    <row r="324" spans="1:2" x14ac:dyDescent="0.2">
      <c r="A324" s="15">
        <v>60611</v>
      </c>
      <c r="B324" t="str">
        <f>_xlfn.IFNA(IF(VLOOKUP(A324,MD!$A:$N,3,0) = "-","MEDION","PEAQ"),"")</f>
        <v>PEAQ</v>
      </c>
    </row>
    <row r="325" spans="1:2" x14ac:dyDescent="0.2">
      <c r="A325" s="17">
        <v>40045358</v>
      </c>
      <c r="B325" t="str">
        <f>_xlfn.IFNA(IF(VLOOKUP(A325,MD!$A:$N,3,0) = "-","MEDION","PEAQ"),"")</f>
        <v/>
      </c>
    </row>
    <row r="326" spans="1:2" x14ac:dyDescent="0.2">
      <c r="A326" s="15">
        <v>99095</v>
      </c>
      <c r="B326" t="str">
        <f>_xlfn.IFNA(IF(VLOOKUP(A326,MD!$A:$N,3,0) = "-","MEDION","PEAQ"),"")</f>
        <v>PEAQ</v>
      </c>
    </row>
    <row r="327" spans="1:2" x14ac:dyDescent="0.2">
      <c r="A327" s="17">
        <v>40047039</v>
      </c>
      <c r="B327" t="str">
        <f>_xlfn.IFNA(IF(VLOOKUP(A327,MD!$A:$N,3,0) = "-","MEDION","PEAQ"),"")</f>
        <v/>
      </c>
    </row>
    <row r="328" spans="1:2" x14ac:dyDescent="0.2">
      <c r="A328" s="15">
        <v>99350</v>
      </c>
      <c r="B328" t="str">
        <f>_xlfn.IFNA(IF(VLOOKUP(A328,MD!$A:$N,3,0) = "-","MEDION","PEAQ"),"")</f>
        <v>PEAQ</v>
      </c>
    </row>
    <row r="329" spans="1:2" x14ac:dyDescent="0.2">
      <c r="A329" s="17">
        <v>40049154</v>
      </c>
      <c r="B329" t="str">
        <f>_xlfn.IFNA(IF(VLOOKUP(A329,MD!$A:$N,3,0) = "-","MEDION","PEAQ"),"")</f>
        <v/>
      </c>
    </row>
    <row r="330" spans="1:2" x14ac:dyDescent="0.2">
      <c r="A330" s="15">
        <v>99283</v>
      </c>
      <c r="B330" t="str">
        <f>_xlfn.IFNA(IF(VLOOKUP(A330,MD!$A:$N,3,0) = "-","MEDION","PEAQ"),"")</f>
        <v>PEAQ</v>
      </c>
    </row>
    <row r="331" spans="1:2" x14ac:dyDescent="0.2">
      <c r="A331" s="17">
        <v>40050125</v>
      </c>
      <c r="B331" t="str">
        <f>_xlfn.IFNA(IF(VLOOKUP(A331,MD!$A:$N,3,0) = "-","MEDION","PEAQ"),"")</f>
        <v/>
      </c>
    </row>
    <row r="332" spans="1:2" x14ac:dyDescent="0.2">
      <c r="A332" s="15">
        <v>99292</v>
      </c>
      <c r="B332" t="str">
        <f>_xlfn.IFNA(IF(VLOOKUP(A332,MD!$A:$N,3,0) = "-","MEDION","PEAQ"),"")</f>
        <v>PEAQ</v>
      </c>
    </row>
    <row r="333" spans="1:2" x14ac:dyDescent="0.2">
      <c r="A333" s="17">
        <v>40050126</v>
      </c>
      <c r="B333" t="str">
        <f>_xlfn.IFNA(IF(VLOOKUP(A333,MD!$A:$N,3,0) = "-","MEDION","PEAQ"),"")</f>
        <v/>
      </c>
    </row>
    <row r="334" spans="1:2" x14ac:dyDescent="0.2">
      <c r="A334" s="15">
        <v>99330</v>
      </c>
      <c r="B334" t="str">
        <f>_xlfn.IFNA(IF(VLOOKUP(A334,MD!$A:$N,3,0) = "-","MEDION","PEAQ"),"")</f>
        <v>PEAQ</v>
      </c>
    </row>
    <row r="335" spans="1:2" x14ac:dyDescent="0.2">
      <c r="A335" s="17">
        <v>40051058</v>
      </c>
      <c r="B335" t="str">
        <f>_xlfn.IFNA(IF(VLOOKUP(A335,MD!$A:$N,3,0) = "-","MEDION","PEAQ"),"")</f>
        <v/>
      </c>
    </row>
    <row r="336" spans="1:2" x14ac:dyDescent="0.2">
      <c r="A336" s="15">
        <v>99311</v>
      </c>
      <c r="B336" t="str">
        <f>_xlfn.IFNA(IF(VLOOKUP(A336,MD!$A:$N,3,0) = "-","MEDION","PEAQ"),"")</f>
        <v>PEAQ</v>
      </c>
    </row>
    <row r="337" spans="1:2" x14ac:dyDescent="0.2">
      <c r="A337" s="17" t="s">
        <v>22</v>
      </c>
      <c r="B337" t="str">
        <f>_xlfn.IFNA(IF(VLOOKUP(A337,MD!$A:$N,3,0) = "-","MEDION","PEAQ"),"")</f>
        <v/>
      </c>
    </row>
    <row r="338" spans="1:2" x14ac:dyDescent="0.2">
      <c r="A338" s="15">
        <v>99299</v>
      </c>
      <c r="B338" t="str">
        <f>_xlfn.IFNA(IF(VLOOKUP(A338,MD!$A:$N,3,0) = "-","MEDION","PEAQ"),"")</f>
        <v>PEAQ</v>
      </c>
    </row>
    <row r="339" spans="1:2" x14ac:dyDescent="0.2">
      <c r="A339" s="17" t="s">
        <v>38</v>
      </c>
      <c r="B339" t="str">
        <f>_xlfn.IFNA(IF(VLOOKUP(A339,MD!$A:$N,3,0) = "-","MEDION","PEAQ"),"")</f>
        <v/>
      </c>
    </row>
    <row r="340" spans="1:2" x14ac:dyDescent="0.2">
      <c r="A340" s="15">
        <v>98875</v>
      </c>
      <c r="B340" t="str">
        <f>_xlfn.IFNA(IF(VLOOKUP(A340,MD!$A:$N,3,0) = "-","MEDION","PEAQ"),"")</f>
        <v>PEAQ</v>
      </c>
    </row>
    <row r="341" spans="1:2" x14ac:dyDescent="0.2">
      <c r="A341" s="17" t="s">
        <v>39</v>
      </c>
      <c r="B341" t="str">
        <f>_xlfn.IFNA(IF(VLOOKUP(A341,MD!$A:$N,3,0) = "-","MEDION","PEAQ"),"")</f>
        <v/>
      </c>
    </row>
    <row r="342" spans="1:2" x14ac:dyDescent="0.2">
      <c r="A342" s="15">
        <v>98842</v>
      </c>
      <c r="B342" t="str">
        <f>_xlfn.IFNA(IF(VLOOKUP(A342,MD!$A:$N,3,0) = "-","MEDION","PEAQ"),"")</f>
        <v>PEAQ</v>
      </c>
    </row>
    <row r="343" spans="1:2" x14ac:dyDescent="0.2">
      <c r="A343" s="15">
        <v>98882</v>
      </c>
      <c r="B343" t="str">
        <f>_xlfn.IFNA(IF(VLOOKUP(A343,MD!$A:$N,3,0) = "-","MEDION","PEAQ"),"")</f>
        <v>PEAQ</v>
      </c>
    </row>
    <row r="344" spans="1:2" x14ac:dyDescent="0.2">
      <c r="A344" s="17" t="s">
        <v>68</v>
      </c>
      <c r="B344" t="str">
        <f>_xlfn.IFNA(IF(VLOOKUP(A344,MD!$A:$N,3,0) = "-","MEDION","PEAQ"),"")</f>
        <v/>
      </c>
    </row>
    <row r="345" spans="1:2" x14ac:dyDescent="0.2">
      <c r="A345" s="15">
        <v>98926</v>
      </c>
      <c r="B345" t="str">
        <f>_xlfn.IFNA(IF(VLOOKUP(A345,MD!$A:$N,3,0) = "-","MEDION","PEAQ"),"")</f>
        <v>PEAQ</v>
      </c>
    </row>
    <row r="346" spans="1:2" x14ac:dyDescent="0.2">
      <c r="A346" s="15">
        <v>98927</v>
      </c>
      <c r="B346" t="str">
        <f>_xlfn.IFNA(IF(VLOOKUP(A346,MD!$A:$N,3,0) = "-","MEDION","PEAQ"),"")</f>
        <v>PEAQ</v>
      </c>
    </row>
    <row r="347" spans="1:2" x14ac:dyDescent="0.2">
      <c r="A347" s="17" t="s">
        <v>63</v>
      </c>
      <c r="B347" t="str">
        <f>_xlfn.IFNA(IF(VLOOKUP(A347,MD!$A:$N,3,0) = "-","MEDION","PEAQ"),"")</f>
        <v/>
      </c>
    </row>
    <row r="348" spans="1:2" x14ac:dyDescent="0.2">
      <c r="A348" s="15">
        <v>98924</v>
      </c>
      <c r="B348" t="str">
        <f>_xlfn.IFNA(IF(VLOOKUP(A348,MD!$A:$N,3,0) = "-","MEDION","PEAQ"),"")</f>
        <v>PEAQ</v>
      </c>
    </row>
    <row r="349" spans="1:2" x14ac:dyDescent="0.2">
      <c r="A349" s="17" t="s">
        <v>42</v>
      </c>
      <c r="B349" t="str">
        <f>_xlfn.IFNA(IF(VLOOKUP(A349,MD!$A:$N,3,0) = "-","MEDION","PEAQ"),"")</f>
        <v/>
      </c>
    </row>
    <row r="350" spans="1:2" x14ac:dyDescent="0.2">
      <c r="A350" s="15">
        <v>98689</v>
      </c>
      <c r="B350" t="str">
        <f>_xlfn.IFNA(IF(VLOOKUP(A350,MD!$A:$N,3,0) = "-","MEDION","PEAQ"),"")</f>
        <v>PEAQ</v>
      </c>
    </row>
    <row r="351" spans="1:2" x14ac:dyDescent="0.2">
      <c r="A351" s="15">
        <v>98954</v>
      </c>
      <c r="B351" t="str">
        <f>_xlfn.IFNA(IF(VLOOKUP(A351,MD!$A:$N,3,0) = "-","MEDION","PEAQ"),"")</f>
        <v>PEAQ</v>
      </c>
    </row>
    <row r="352" spans="1:2" x14ac:dyDescent="0.2">
      <c r="A352" s="17" t="s">
        <v>54</v>
      </c>
      <c r="B352" t="str">
        <f>_xlfn.IFNA(IF(VLOOKUP(A352,MD!$A:$N,3,0) = "-","MEDION","PEAQ"),"")</f>
        <v/>
      </c>
    </row>
    <row r="353" spans="1:2" x14ac:dyDescent="0.2">
      <c r="A353" s="15">
        <v>99454</v>
      </c>
      <c r="B353" t="str">
        <f>_xlfn.IFNA(IF(VLOOKUP(A353,MD!$A:$N,3,0) = "-","MEDION","PEAQ"),"")</f>
        <v>PEAQ</v>
      </c>
    </row>
    <row r="354" spans="1:2" x14ac:dyDescent="0.2">
      <c r="A354" s="17" t="s">
        <v>28</v>
      </c>
      <c r="B354" t="str">
        <f>_xlfn.IFNA(IF(VLOOKUP(A354,MD!$A:$N,3,0) = "-","MEDION","PEAQ"),"")</f>
        <v/>
      </c>
    </row>
    <row r="355" spans="1:2" x14ac:dyDescent="0.2">
      <c r="A355" s="15">
        <v>98705</v>
      </c>
      <c r="B355" t="str">
        <f>_xlfn.IFNA(IF(VLOOKUP(A355,MD!$A:$N,3,0) = "-","MEDION","PEAQ"),"")</f>
        <v>PEAQ</v>
      </c>
    </row>
    <row r="356" spans="1:2" x14ac:dyDescent="0.2">
      <c r="A356" s="15">
        <v>98706</v>
      </c>
      <c r="B356" t="str">
        <f>_xlfn.IFNA(IF(VLOOKUP(A356,MD!$A:$N,3,0) = "-","MEDION","PEAQ"),"")</f>
        <v>PEAQ</v>
      </c>
    </row>
    <row r="357" spans="1:2" x14ac:dyDescent="0.2">
      <c r="A357" s="17" t="s">
        <v>29</v>
      </c>
      <c r="B357" t="str">
        <f>_xlfn.IFNA(IF(VLOOKUP(A357,MD!$A:$N,3,0) = "-","MEDION","PEAQ"),"")</f>
        <v/>
      </c>
    </row>
    <row r="358" spans="1:2" x14ac:dyDescent="0.2">
      <c r="A358" s="15">
        <v>98925</v>
      </c>
      <c r="B358" t="str">
        <f>_xlfn.IFNA(IF(VLOOKUP(A358,MD!$A:$N,3,0) = "-","MEDION","PEAQ"),"")</f>
        <v>PEAQ</v>
      </c>
    </row>
    <row r="359" spans="1:2" x14ac:dyDescent="0.2">
      <c r="A359" s="15">
        <v>99089</v>
      </c>
      <c r="B359" t="str">
        <f>_xlfn.IFNA(IF(VLOOKUP(A359,MD!$A:$N,3,0) = "-","MEDION","PEAQ"),"")</f>
        <v>PEAQ</v>
      </c>
    </row>
    <row r="360" spans="1:2" x14ac:dyDescent="0.2">
      <c r="A360" s="15">
        <v>99349</v>
      </c>
      <c r="B360" t="str">
        <f>_xlfn.IFNA(IF(VLOOKUP(A360,MD!$A:$N,3,0) = "-","MEDION","PEAQ"),"")</f>
        <v>PEAQ</v>
      </c>
    </row>
    <row r="361" spans="1:2" x14ac:dyDescent="0.2">
      <c r="A361" s="15">
        <v>99430</v>
      </c>
      <c r="B361" t="str">
        <f>_xlfn.IFNA(IF(VLOOKUP(A361,MD!$A:$N,3,0) = "-","MEDION","PEAQ"),"")</f>
        <v>PEAQ</v>
      </c>
    </row>
    <row r="362" spans="1:2" x14ac:dyDescent="0.2">
      <c r="A362" s="15">
        <v>99480</v>
      </c>
      <c r="B362" t="str">
        <f>_xlfn.IFNA(IF(VLOOKUP(A362,MD!$A:$N,3,0) = "-","MEDION","PEAQ"),"")</f>
        <v>PEAQ</v>
      </c>
    </row>
    <row r="363" spans="1:2" x14ac:dyDescent="0.2">
      <c r="A363" s="17" t="s">
        <v>30</v>
      </c>
      <c r="B363" t="str">
        <f>_xlfn.IFNA(IF(VLOOKUP(A363,MD!$A:$N,3,0) = "-","MEDION","PEAQ"),"")</f>
        <v/>
      </c>
    </row>
    <row r="364" spans="1:2" x14ac:dyDescent="0.2">
      <c r="A364" s="15">
        <v>98878</v>
      </c>
      <c r="B364" t="str">
        <f>_xlfn.IFNA(IF(VLOOKUP(A364,MD!$A:$N,3,0) = "-","MEDION","PEAQ"),"")</f>
        <v>PEAQ</v>
      </c>
    </row>
    <row r="365" spans="1:2" x14ac:dyDescent="0.2">
      <c r="A365" s="15">
        <v>99440</v>
      </c>
      <c r="B365" t="str">
        <f>_xlfn.IFNA(IF(VLOOKUP(A365,MD!$A:$N,3,0) = "-","MEDION","PEAQ"),"")</f>
        <v>PEAQ</v>
      </c>
    </row>
    <row r="366" spans="1:2" x14ac:dyDescent="0.2">
      <c r="A366" s="17" t="s">
        <v>34</v>
      </c>
      <c r="B366" t="str">
        <f>_xlfn.IFNA(IF(VLOOKUP(A366,MD!$A:$N,3,0) = "-","MEDION","PEAQ"),"")</f>
        <v/>
      </c>
    </row>
    <row r="367" spans="1:2" x14ac:dyDescent="0.2">
      <c r="A367" s="15">
        <v>98602</v>
      </c>
      <c r="B367" t="str">
        <f>_xlfn.IFNA(IF(VLOOKUP(A367,MD!$A:$N,3,0) = "-","MEDION","PEAQ"),"")</f>
        <v>PEAQ</v>
      </c>
    </row>
    <row r="368" spans="1:2" x14ac:dyDescent="0.2">
      <c r="A368" s="15">
        <v>98603</v>
      </c>
      <c r="B368" t="str">
        <f>_xlfn.IFNA(IF(VLOOKUP(A368,MD!$A:$N,3,0) = "-","MEDION","PEAQ"),"")</f>
        <v>PEAQ</v>
      </c>
    </row>
    <row r="369" spans="1:2" x14ac:dyDescent="0.2">
      <c r="A369" s="15">
        <v>98604</v>
      </c>
      <c r="B369" t="str">
        <f>_xlfn.IFNA(IF(VLOOKUP(A369,MD!$A:$N,3,0) = "-","MEDION","PEAQ"),"")</f>
        <v>PEAQ</v>
      </c>
    </row>
    <row r="370" spans="1:2" x14ac:dyDescent="0.2">
      <c r="A370" s="15">
        <v>98647</v>
      </c>
      <c r="B370" t="str">
        <f>_xlfn.IFNA(IF(VLOOKUP(A370,MD!$A:$N,3,0) = "-","MEDION","PEAQ"),"")</f>
        <v>PEAQ</v>
      </c>
    </row>
    <row r="371" spans="1:2" x14ac:dyDescent="0.2">
      <c r="A371" s="15">
        <v>98806</v>
      </c>
      <c r="B371" t="str">
        <f>_xlfn.IFNA(IF(VLOOKUP(A371,MD!$A:$N,3,0) = "-","MEDION","PEAQ"),"")</f>
        <v>PEAQ</v>
      </c>
    </row>
    <row r="372" spans="1:2" x14ac:dyDescent="0.2">
      <c r="A372" s="17" t="s">
        <v>81</v>
      </c>
      <c r="B372" t="str">
        <f>_xlfn.IFNA(IF(VLOOKUP(A372,MD!$A:$N,3,0) = "-","MEDION","PEAQ"),"")</f>
        <v/>
      </c>
    </row>
    <row r="373" spans="1:2" x14ac:dyDescent="0.2">
      <c r="A373" s="15">
        <v>99316</v>
      </c>
      <c r="B373" t="str">
        <f>_xlfn.IFNA(IF(VLOOKUP(A373,MD!$A:$N,3,0) = "-","MEDION","PEAQ"),"")</f>
        <v>PEAQ</v>
      </c>
    </row>
    <row r="374" spans="1:2" x14ac:dyDescent="0.2">
      <c r="A374" s="17" t="s">
        <v>33</v>
      </c>
      <c r="B374" t="str">
        <f>_xlfn.IFNA(IF(VLOOKUP(A374,MD!$A:$N,3,0) = "-","MEDION","PEAQ"),"")</f>
        <v/>
      </c>
    </row>
    <row r="375" spans="1:2" x14ac:dyDescent="0.2">
      <c r="A375" s="15">
        <v>98714</v>
      </c>
      <c r="B375" t="str">
        <f>_xlfn.IFNA(IF(VLOOKUP(A375,MD!$A:$N,3,0) = "-","MEDION","PEAQ"),"")</f>
        <v>PEAQ</v>
      </c>
    </row>
    <row r="376" spans="1:2" x14ac:dyDescent="0.2">
      <c r="A376" s="15">
        <v>98716</v>
      </c>
      <c r="B376" t="str">
        <f>_xlfn.IFNA(IF(VLOOKUP(A376,MD!$A:$N,3,0) = "-","MEDION","PEAQ"),"")</f>
        <v>PEAQ</v>
      </c>
    </row>
    <row r="377" spans="1:2" x14ac:dyDescent="0.2">
      <c r="A377" s="15">
        <v>99317</v>
      </c>
      <c r="B377" t="str">
        <f>_xlfn.IFNA(IF(VLOOKUP(A377,MD!$A:$N,3,0) = "-","MEDION","PEAQ"),"")</f>
        <v>PEAQ</v>
      </c>
    </row>
    <row r="378" spans="1:2" x14ac:dyDescent="0.2">
      <c r="A378" s="17" t="s">
        <v>56</v>
      </c>
      <c r="B378" t="str">
        <f>_xlfn.IFNA(IF(VLOOKUP(A378,MD!$A:$N,3,0) = "-","MEDION","PEAQ"),"")</f>
        <v/>
      </c>
    </row>
    <row r="379" spans="1:2" x14ac:dyDescent="0.2">
      <c r="A379" s="15">
        <v>99373</v>
      </c>
      <c r="B379" t="str">
        <f>_xlfn.IFNA(IF(VLOOKUP(A379,MD!$A:$N,3,0) = "-","MEDION","PEAQ"),"")</f>
        <v>PEAQ</v>
      </c>
    </row>
    <row r="380" spans="1:2" x14ac:dyDescent="0.2">
      <c r="A380" s="17" t="s">
        <v>61</v>
      </c>
      <c r="B380" t="str">
        <f>_xlfn.IFNA(IF(VLOOKUP(A380,MD!$A:$N,3,0) = "-","MEDION","PEAQ"),"")</f>
        <v/>
      </c>
    </row>
    <row r="381" spans="1:2" x14ac:dyDescent="0.2">
      <c r="A381" s="15">
        <v>99374</v>
      </c>
      <c r="B381" t="str">
        <f>_xlfn.IFNA(IF(VLOOKUP(A381,MD!$A:$N,3,0) = "-","MEDION","PEAQ"),"")</f>
        <v>PEAQ</v>
      </c>
    </row>
    <row r="382" spans="1:2" x14ac:dyDescent="0.2">
      <c r="A382" s="17" t="s">
        <v>17</v>
      </c>
      <c r="B382" t="str">
        <f>_xlfn.IFNA(IF(VLOOKUP(A382,MD!$A:$N,3,0) = "-","MEDION","PEAQ"),"")</f>
        <v/>
      </c>
    </row>
    <row r="383" spans="1:2" x14ac:dyDescent="0.2">
      <c r="A383" s="15">
        <v>99288</v>
      </c>
      <c r="B383" t="str">
        <f>_xlfn.IFNA(IF(VLOOKUP(A383,MD!$A:$N,3,0) = "-","MEDION","PEAQ"),"")</f>
        <v>PEAQ</v>
      </c>
    </row>
    <row r="384" spans="1:2" x14ac:dyDescent="0.2">
      <c r="A384" s="17" t="s">
        <v>18</v>
      </c>
      <c r="B384" t="str">
        <f>_xlfn.IFNA(IF(VLOOKUP(A384,MD!$A:$N,3,0) = "-","MEDION","PEAQ"),"")</f>
        <v/>
      </c>
    </row>
    <row r="385" spans="1:2" x14ac:dyDescent="0.2">
      <c r="A385" s="15">
        <v>99333</v>
      </c>
      <c r="B385" t="str">
        <f>_xlfn.IFNA(IF(VLOOKUP(A385,MD!$A:$N,3,0) = "-","MEDION","PEAQ"),"")</f>
        <v>PEAQ</v>
      </c>
    </row>
    <row r="386" spans="1:2" x14ac:dyDescent="0.2">
      <c r="A386" s="15">
        <v>99360</v>
      </c>
      <c r="B386" t="str">
        <f>_xlfn.IFNA(IF(VLOOKUP(A386,MD!$A:$N,3,0) = "-","MEDION","PEAQ"),"")</f>
        <v>PEAQ</v>
      </c>
    </row>
    <row r="387" spans="1:2" x14ac:dyDescent="0.2">
      <c r="A387" s="17" t="s">
        <v>31</v>
      </c>
      <c r="B387" t="str">
        <f>_xlfn.IFNA(IF(VLOOKUP(A387,MD!$A:$N,3,0) = "-","MEDION","PEAQ"),"")</f>
        <v/>
      </c>
    </row>
    <row r="388" spans="1:2" x14ac:dyDescent="0.2">
      <c r="A388" s="15">
        <v>99380</v>
      </c>
      <c r="B388" t="str">
        <f>_xlfn.IFNA(IF(VLOOKUP(A388,MD!$A:$N,3,0) = "-","MEDION","PEAQ"),"")</f>
        <v>PEAQ</v>
      </c>
    </row>
    <row r="389" spans="1:2" x14ac:dyDescent="0.2">
      <c r="A389" s="15">
        <v>99381</v>
      </c>
      <c r="B389" t="str">
        <f>_xlfn.IFNA(IF(VLOOKUP(A389,MD!$A:$N,3,0) = "-","MEDION","PEAQ"),"")</f>
        <v>PEAQ</v>
      </c>
    </row>
    <row r="390" spans="1:2" x14ac:dyDescent="0.2">
      <c r="A390" s="17" t="s">
        <v>97</v>
      </c>
      <c r="B390" t="str">
        <f>_xlfn.IFNA(IF(VLOOKUP(A390,MD!$A:$N,3,0) = "-","MEDION","PEAQ"),"")</f>
        <v/>
      </c>
    </row>
    <row r="391" spans="1:2" x14ac:dyDescent="0.2">
      <c r="A391" s="15">
        <v>60000</v>
      </c>
      <c r="B391" t="str">
        <f>_xlfn.IFNA(IF(VLOOKUP(A391,MD!$A:$N,3,0) = "-","MEDION","PEAQ"),"")</f>
        <v>PEAQ</v>
      </c>
    </row>
    <row r="392" spans="1:2" x14ac:dyDescent="0.2">
      <c r="A392" s="15">
        <v>60077</v>
      </c>
      <c r="B392" t="str">
        <f>_xlfn.IFNA(IF(VLOOKUP(A392,MD!$A:$N,3,0) = "-","MEDION","PEAQ"),"")</f>
        <v>PEAQ</v>
      </c>
    </row>
    <row r="393" spans="1:2" x14ac:dyDescent="0.2">
      <c r="A393" s="15">
        <v>99602</v>
      </c>
      <c r="B393" t="str">
        <f>_xlfn.IFNA(IF(VLOOKUP(A393,MD!$A:$N,3,0) = "-","MEDION","PEAQ"),"")</f>
        <v>PEAQ</v>
      </c>
    </row>
    <row r="394" spans="1:2" x14ac:dyDescent="0.2">
      <c r="A394" s="17">
        <v>20063626</v>
      </c>
      <c r="B394" t="str">
        <f>_xlfn.IFNA(IF(VLOOKUP(A394,MD!$A:$N,3,0) = "-","MEDION","PEAQ"),"")</f>
        <v/>
      </c>
    </row>
    <row r="395" spans="1:2" x14ac:dyDescent="0.2">
      <c r="A395" s="15">
        <v>99950</v>
      </c>
      <c r="B395" t="str">
        <f>_xlfn.IFNA(IF(VLOOKUP(A395,MD!$A:$N,3,0) = "-","MEDION","PEAQ"),"")</f>
        <v>PEAQ</v>
      </c>
    </row>
    <row r="396" spans="1:2" x14ac:dyDescent="0.2">
      <c r="A396" s="15">
        <v>60483</v>
      </c>
      <c r="B396" t="str">
        <f>_xlfn.IFNA(IF(VLOOKUP(A396,MD!$A:$N,3,0) = "-","MEDION","PEAQ"),"")</f>
        <v>PEAQ</v>
      </c>
    </row>
    <row r="397" spans="1:2" x14ac:dyDescent="0.2">
      <c r="A397" s="17">
        <v>20063876</v>
      </c>
      <c r="B397" t="str">
        <f>_xlfn.IFNA(IF(VLOOKUP(A397,MD!$A:$N,3,0) = "-","MEDION","PEAQ"),"")</f>
        <v/>
      </c>
    </row>
    <row r="398" spans="1:2" x14ac:dyDescent="0.2">
      <c r="A398" s="15">
        <v>99894</v>
      </c>
      <c r="B398" t="str">
        <f>_xlfn.IFNA(IF(VLOOKUP(A398,MD!$A:$N,3,0) = "-","MEDION","PEAQ"),"")</f>
        <v>PEAQ</v>
      </c>
    </row>
    <row r="399" spans="1:2" x14ac:dyDescent="0.2">
      <c r="A399" s="15">
        <v>60626</v>
      </c>
      <c r="B399" t="str">
        <f>_xlfn.IFNA(IF(VLOOKUP(A399,MD!$A:$N,3,0) = "-","MEDION","PEAQ"),"")</f>
        <v>PEAQ</v>
      </c>
    </row>
    <row r="400" spans="1:2" x14ac:dyDescent="0.2">
      <c r="A400" s="15">
        <v>60562</v>
      </c>
      <c r="B400" t="str">
        <f>_xlfn.IFNA(IF(VLOOKUP(A400,MD!$A:$N,3,0) = "-","MEDION","PEAQ"),"")</f>
        <v>PEAQ</v>
      </c>
    </row>
    <row r="401" spans="1:2" x14ac:dyDescent="0.2">
      <c r="A401" s="17">
        <v>20064511</v>
      </c>
      <c r="B401" t="str">
        <f>_xlfn.IFNA(IF(VLOOKUP(A401,MD!$A:$N,3,0) = "-","MEDION","PEAQ"),"")</f>
        <v/>
      </c>
    </row>
    <row r="402" spans="1:2" x14ac:dyDescent="0.2">
      <c r="A402" s="15">
        <v>60250</v>
      </c>
      <c r="B402" t="str">
        <f>_xlfn.IFNA(IF(VLOOKUP(A402,MD!$A:$N,3,0) = "-","MEDION","PEAQ"),"")</f>
        <v>PEAQ</v>
      </c>
    </row>
    <row r="403" spans="1:2" x14ac:dyDescent="0.2">
      <c r="A403" s="15">
        <v>60950</v>
      </c>
      <c r="B403" t="str">
        <f>_xlfn.IFNA(IF(VLOOKUP(A403,MD!$A:$N,3,0) = "-","MEDION","PEAQ"),"")</f>
        <v>PEAQ</v>
      </c>
    </row>
    <row r="404" spans="1:2" x14ac:dyDescent="0.2">
      <c r="A404" s="17">
        <v>20061820</v>
      </c>
      <c r="B404" t="str">
        <f>_xlfn.IFNA(IF(VLOOKUP(A404,MD!$A:$N,3,0) = "-","MEDION","PEAQ"),"")</f>
        <v/>
      </c>
    </row>
    <row r="405" spans="1:2" x14ac:dyDescent="0.2">
      <c r="A405" s="15">
        <v>99479</v>
      </c>
      <c r="B405" t="str">
        <f>_xlfn.IFNA(IF(VLOOKUP(A405,MD!$A:$N,3,0) = "-","MEDION","PEAQ"),"")</f>
        <v>PEAQ</v>
      </c>
    </row>
    <row r="406" spans="1:2" x14ac:dyDescent="0.2">
      <c r="A406" s="17">
        <v>20063364</v>
      </c>
      <c r="B406" t="str">
        <f>_xlfn.IFNA(IF(VLOOKUP(A406,MD!$A:$N,3,0) = "-","MEDION","PEAQ"),"")</f>
        <v/>
      </c>
    </row>
    <row r="407" spans="1:2" x14ac:dyDescent="0.2">
      <c r="A407" s="15">
        <v>60300</v>
      </c>
      <c r="B407" t="str">
        <f>_xlfn.IFNA(IF(VLOOKUP(A407,MD!$A:$N,3,0) = "-","MEDION","PEAQ"),"")</f>
        <v>PEAQ</v>
      </c>
    </row>
    <row r="408" spans="1:2" x14ac:dyDescent="0.2">
      <c r="A408" s="17">
        <v>20063526</v>
      </c>
      <c r="B408" t="str">
        <f>_xlfn.IFNA(IF(VLOOKUP(A408,MD!$A:$N,3,0) = "-","MEDION","PEAQ"),"")</f>
        <v/>
      </c>
    </row>
    <row r="409" spans="1:2" x14ac:dyDescent="0.2">
      <c r="A409" s="15">
        <v>60329</v>
      </c>
      <c r="B409" t="str">
        <f>_xlfn.IFNA(IF(VLOOKUP(A409,MD!$A:$N,3,0) = "-","MEDION","PEAQ"),"")</f>
        <v>PEAQ</v>
      </c>
    </row>
    <row r="410" spans="1:2" x14ac:dyDescent="0.2">
      <c r="A410" s="15">
        <v>60442</v>
      </c>
      <c r="B410" t="str">
        <f>_xlfn.IFNA(IF(VLOOKUP(A410,MD!$A:$N,3,0) = "-","MEDION","PEAQ"),"")</f>
        <v>PEAQ</v>
      </c>
    </row>
    <row r="411" spans="1:2" x14ac:dyDescent="0.2">
      <c r="A411" s="15">
        <v>60629</v>
      </c>
      <c r="B411" t="str">
        <f>_xlfn.IFNA(IF(VLOOKUP(A411,MD!$A:$N,3,0) = "-","MEDION","PEAQ"),"")</f>
        <v>PEAQ</v>
      </c>
    </row>
    <row r="412" spans="1:2" x14ac:dyDescent="0.2">
      <c r="A412" s="15">
        <v>60632</v>
      </c>
      <c r="B412" t="str">
        <f>_xlfn.IFNA(IF(VLOOKUP(A412,MD!$A:$N,3,0) = "-","MEDION","PEAQ"),"")</f>
        <v>PEAQ</v>
      </c>
    </row>
    <row r="413" spans="1:2" x14ac:dyDescent="0.2">
      <c r="A413" s="17">
        <v>20063913</v>
      </c>
      <c r="B413" t="str">
        <f>_xlfn.IFNA(IF(VLOOKUP(A413,MD!$A:$N,3,0) = "-","MEDION","PEAQ"),"")</f>
        <v/>
      </c>
    </row>
    <row r="414" spans="1:2" x14ac:dyDescent="0.2">
      <c r="A414" s="15">
        <v>60429</v>
      </c>
      <c r="B414" t="str">
        <f>_xlfn.IFNA(IF(VLOOKUP(A414,MD!$A:$N,3,0) = "-","MEDION","PEAQ"),"")</f>
        <v>PEAQ</v>
      </c>
    </row>
    <row r="415" spans="1:2" x14ac:dyDescent="0.2">
      <c r="A415" s="17">
        <v>20064353</v>
      </c>
      <c r="B415" t="str">
        <f>_xlfn.IFNA(IF(VLOOKUP(A415,MD!$A:$N,3,0) = "-","MEDION","PEAQ"),"")</f>
        <v/>
      </c>
    </row>
    <row r="416" spans="1:2" x14ac:dyDescent="0.2">
      <c r="A416" s="15">
        <v>60440</v>
      </c>
      <c r="B416" t="str">
        <f>_xlfn.IFNA(IF(VLOOKUP(A416,MD!$A:$N,3,0) = "-","MEDION","PEAQ"),"")</f>
        <v>PEAQ</v>
      </c>
    </row>
    <row r="417" spans="1:2" x14ac:dyDescent="0.2">
      <c r="A417" s="15">
        <v>60627</v>
      </c>
      <c r="B417" t="str">
        <f>_xlfn.IFNA(IF(VLOOKUP(A417,MD!$A:$N,3,0) = "-","MEDION","PEAQ"),"")</f>
        <v>PEAQ</v>
      </c>
    </row>
    <row r="418" spans="1:2" x14ac:dyDescent="0.2">
      <c r="A418" s="15">
        <v>60439</v>
      </c>
      <c r="B418" t="str">
        <f>_xlfn.IFNA(IF(VLOOKUP(A418,MD!$A:$N,3,0) = "-","MEDION","PEAQ"),"")</f>
        <v>PEAQ</v>
      </c>
    </row>
    <row r="419" spans="1:2" x14ac:dyDescent="0.2">
      <c r="A419" s="15">
        <v>60808</v>
      </c>
      <c r="B419" t="str">
        <f>_xlfn.IFNA(IF(VLOOKUP(A419,MD!$A:$N,3,0) = "-","MEDION","PEAQ"),"")</f>
        <v>PEAQ</v>
      </c>
    </row>
    <row r="420" spans="1:2" x14ac:dyDescent="0.2">
      <c r="A420" s="15">
        <v>60809</v>
      </c>
      <c r="B420" t="str">
        <f>_xlfn.IFNA(IF(VLOOKUP(A420,MD!$A:$N,3,0) = "-","MEDION","PEAQ"),"")</f>
        <v>PEAQ</v>
      </c>
    </row>
    <row r="421" spans="1:2" x14ac:dyDescent="0.2">
      <c r="A421" s="15">
        <v>60763</v>
      </c>
      <c r="B421" t="str">
        <f>_xlfn.IFNA(IF(VLOOKUP(A421,MD!$A:$N,3,0) = "-","MEDION","PEAQ"),"")</f>
        <v>PEAQ</v>
      </c>
    </row>
    <row r="422" spans="1:2" x14ac:dyDescent="0.2">
      <c r="A422" s="17">
        <v>20063449</v>
      </c>
      <c r="B422" t="str">
        <f>_xlfn.IFNA(IF(VLOOKUP(A422,MD!$A:$N,3,0) = "-","MEDION","PEAQ"),"")</f>
        <v/>
      </c>
    </row>
    <row r="423" spans="1:2" x14ac:dyDescent="0.2">
      <c r="A423" s="15">
        <v>60428</v>
      </c>
      <c r="B423" t="str">
        <f>_xlfn.IFNA(IF(VLOOKUP(A423,MD!$A:$N,3,0) = "-","MEDION","PEAQ"),"")</f>
        <v>PEAQ</v>
      </c>
    </row>
    <row r="424" spans="1:2" x14ac:dyDescent="0.2">
      <c r="A424" s="15">
        <v>60620</v>
      </c>
      <c r="B424" t="str">
        <f>_xlfn.IFNA(IF(VLOOKUP(A424,MD!$A:$N,3,0) = "-","MEDION","PEAQ"),"")</f>
        <v>PEAQ</v>
      </c>
    </row>
    <row r="425" spans="1:2" x14ac:dyDescent="0.2">
      <c r="A425" s="15">
        <v>60624</v>
      </c>
      <c r="B425" t="str">
        <f>_xlfn.IFNA(IF(VLOOKUP(A425,MD!$A:$N,3,0) = "-","MEDION","PEAQ"),"")</f>
        <v>PEAQ</v>
      </c>
    </row>
    <row r="426" spans="1:2" x14ac:dyDescent="0.2">
      <c r="A426" s="17">
        <v>20064574</v>
      </c>
      <c r="B426" t="str">
        <f>_xlfn.IFNA(IF(VLOOKUP(A426,MD!$A:$N,3,0) = "-","MEDION","PEAQ"),"")</f>
        <v/>
      </c>
    </row>
    <row r="427" spans="1:2" x14ac:dyDescent="0.2">
      <c r="A427" s="15">
        <v>60650</v>
      </c>
      <c r="B427" t="str">
        <f>_xlfn.IFNA(IF(VLOOKUP(A427,MD!$A:$N,3,0) = "-","MEDION","PEAQ"),"")</f>
        <v>PEAQ</v>
      </c>
    </row>
    <row r="428" spans="1:2" x14ac:dyDescent="0.2">
      <c r="A428" s="15">
        <v>60350</v>
      </c>
      <c r="B428" t="str">
        <f>_xlfn.IFNA(IF(VLOOKUP(A428,MD!$A:$N,3,0) = "-","MEDION","PEAQ"),"")</f>
        <v>PEAQ</v>
      </c>
    </row>
    <row r="429" spans="1:2" x14ac:dyDescent="0.2">
      <c r="A429" s="15">
        <v>60818</v>
      </c>
      <c r="B429" t="str">
        <f>_xlfn.IFNA(IF(VLOOKUP(A429,MD!$A:$N,3,0) = "-","MEDION","PEAQ"),"")</f>
        <v>PEAQ</v>
      </c>
    </row>
    <row r="430" spans="1:2" x14ac:dyDescent="0.2">
      <c r="A430" s="17">
        <v>20063663</v>
      </c>
      <c r="B430" t="str">
        <f>_xlfn.IFNA(IF(VLOOKUP(A430,MD!$A:$N,3,0) = "-","MEDION","PEAQ"),"")</f>
        <v/>
      </c>
    </row>
    <row r="431" spans="1:2" x14ac:dyDescent="0.2">
      <c r="A431" s="15">
        <v>60328</v>
      </c>
      <c r="B431" t="str">
        <f>_xlfn.IFNA(IF(VLOOKUP(A431,MD!$A:$N,3,0) = "-","MEDION","PEAQ"),"")</f>
        <v>PEAQ</v>
      </c>
    </row>
    <row r="432" spans="1:2" x14ac:dyDescent="0.2">
      <c r="A432" s="15">
        <v>60437</v>
      </c>
      <c r="B432" t="str">
        <f>_xlfn.IFNA(IF(VLOOKUP(A432,MD!$A:$N,3,0) = "-","MEDION","PEAQ"),"")</f>
        <v>PEAQ</v>
      </c>
    </row>
    <row r="433" spans="1:2" x14ac:dyDescent="0.2">
      <c r="A433" s="15">
        <v>60438</v>
      </c>
      <c r="B433" t="str">
        <f>_xlfn.IFNA(IF(VLOOKUP(A433,MD!$A:$N,3,0) = "-","MEDION","PEAQ"),"")</f>
        <v>PEAQ</v>
      </c>
    </row>
    <row r="434" spans="1:2" x14ac:dyDescent="0.2">
      <c r="A434" s="15">
        <v>60636</v>
      </c>
      <c r="B434" t="str">
        <f>_xlfn.IFNA(IF(VLOOKUP(A434,MD!$A:$N,3,0) = "-","MEDION","PEAQ"),"")</f>
        <v>PEAQ</v>
      </c>
    </row>
    <row r="435" spans="1:2" x14ac:dyDescent="0.2">
      <c r="A435" s="15">
        <v>60633</v>
      </c>
      <c r="B435" t="str">
        <f>_xlfn.IFNA(IF(VLOOKUP(A435,MD!$A:$N,3,0) = "-","MEDION","PEAQ"),"")</f>
        <v>PEAQ</v>
      </c>
    </row>
    <row r="436" spans="1:2" x14ac:dyDescent="0.2">
      <c r="A436" s="15">
        <v>60451</v>
      </c>
      <c r="B436" t="str">
        <f>_xlfn.IFNA(IF(VLOOKUP(A436,MD!$A:$N,3,0) = "-","MEDION","PEAQ"),"")</f>
        <v>PEAQ</v>
      </c>
    </row>
    <row r="437" spans="1:2" x14ac:dyDescent="0.2">
      <c r="A437" s="15">
        <v>60571</v>
      </c>
      <c r="B437" t="str">
        <f>_xlfn.IFNA(IF(VLOOKUP(A437,MD!$A:$N,3,0) = "-","MEDION","PEAQ"),"")</f>
        <v>PEAQ</v>
      </c>
    </row>
    <row r="438" spans="1:2" x14ac:dyDescent="0.2">
      <c r="A438" s="17">
        <v>20064177</v>
      </c>
      <c r="B438" t="str">
        <f>_xlfn.IFNA(IF(VLOOKUP(A438,MD!$A:$N,3,0) = "-","MEDION","PEAQ"),"")</f>
        <v/>
      </c>
    </row>
    <row r="439" spans="1:2" x14ac:dyDescent="0.2">
      <c r="A439" s="15">
        <v>60490</v>
      </c>
      <c r="B439" t="str">
        <f>_xlfn.IFNA(IF(VLOOKUP(A439,MD!$A:$N,3,0) = "-","MEDION","PEAQ"),"")</f>
        <v>PEAQ</v>
      </c>
    </row>
    <row r="440" spans="1:2" x14ac:dyDescent="0.2">
      <c r="A440" s="15">
        <v>60738</v>
      </c>
      <c r="B440" t="str">
        <f>_xlfn.IFNA(IF(VLOOKUP(A440,MD!$A:$N,3,0) = "-","MEDION","PEAQ"),"")</f>
        <v>PEAQ</v>
      </c>
    </row>
    <row r="441" spans="1:2" x14ac:dyDescent="0.2">
      <c r="A441" s="17" t="s">
        <v>129</v>
      </c>
      <c r="B441" t="str">
        <f>_xlfn.IFNA(IF(VLOOKUP(A441,MD!$A:$N,3,0) = "-","MEDION","PEAQ"),"")</f>
        <v/>
      </c>
    </row>
    <row r="442" spans="1:2" x14ac:dyDescent="0.2">
      <c r="A442" s="15" t="s">
        <v>129</v>
      </c>
      <c r="B442" t="str">
        <f>_xlfn.IFNA(IF(VLOOKUP(A442,MD!$A:$N,3,0) = "-","MEDION","PEAQ"),"")</f>
        <v/>
      </c>
    </row>
    <row r="443" spans="1:2" x14ac:dyDescent="0.2">
      <c r="A443" s="17" t="s">
        <v>528</v>
      </c>
      <c r="B443" t="str">
        <f>_xlfn.IFNA(IF(VLOOKUP(A443,MD!$A:$N,3,0) = "-","MEDION","PEAQ"),"")</f>
        <v/>
      </c>
    </row>
    <row r="444" spans="1:2" x14ac:dyDescent="0.2">
      <c r="A444" s="15">
        <v>60007</v>
      </c>
      <c r="B444" t="str">
        <f>_xlfn.IFNA(IF(VLOOKUP(A444,MD!$A:$N,3,0) = "-","MEDION","PEAQ"),"")</f>
        <v>PEAQ</v>
      </c>
    </row>
    <row r="445" spans="1:2" x14ac:dyDescent="0.2">
      <c r="A445" s="17" t="s">
        <v>537</v>
      </c>
      <c r="B445" t="str">
        <f>_xlfn.IFNA(IF(VLOOKUP(A445,MD!$A:$N,3,0) = "-","MEDION","PEAQ"),"")</f>
        <v/>
      </c>
    </row>
    <row r="446" spans="1:2" x14ac:dyDescent="0.2">
      <c r="A446" s="15">
        <v>99556</v>
      </c>
      <c r="B446" t="str">
        <f>_xlfn.IFNA(IF(VLOOKUP(A446,MD!$A:$N,3,0) = "-","MEDION","PEAQ"),"")</f>
        <v>PEAQ</v>
      </c>
    </row>
    <row r="447" spans="1:2" x14ac:dyDescent="0.2">
      <c r="A447" s="15">
        <v>99686</v>
      </c>
      <c r="B447" t="str">
        <f>_xlfn.IFNA(IF(VLOOKUP(A447,MD!$A:$N,3,0) = "-","MEDION","PEAQ"),"")</f>
        <v>PEAQ</v>
      </c>
    </row>
    <row r="448" spans="1:2" x14ac:dyDescent="0.2">
      <c r="A448" s="17">
        <v>20063521</v>
      </c>
      <c r="B448" t="str">
        <f>_xlfn.IFNA(IF(VLOOKUP(A448,MD!$A:$N,3,0) = "-","MEDION","PEAQ"),"")</f>
        <v/>
      </c>
    </row>
    <row r="449" spans="1:2" x14ac:dyDescent="0.2">
      <c r="A449" s="15">
        <v>60443</v>
      </c>
      <c r="B449" t="str">
        <f>_xlfn.IFNA(IF(VLOOKUP(A449,MD!$A:$N,3,0) = "-","MEDION","PEAQ"),"")</f>
        <v>PEAQ</v>
      </c>
    </row>
    <row r="450" spans="1:2" x14ac:dyDescent="0.2">
      <c r="A450" s="15">
        <v>60631</v>
      </c>
      <c r="B450" t="str">
        <f>_xlfn.IFNA(IF(VLOOKUP(A450,MD!$A:$N,3,0) = "-","MEDION","PEAQ"),"")</f>
        <v>PEAQ</v>
      </c>
    </row>
    <row r="451" spans="1:2" x14ac:dyDescent="0.2">
      <c r="A451" s="15">
        <v>60628</v>
      </c>
      <c r="B451" t="str">
        <f>_xlfn.IFNA(IF(VLOOKUP(A451,MD!$A:$N,3,0) = "-","MEDION","PEAQ"),"")</f>
        <v>PEAQ</v>
      </c>
    </row>
    <row r="452" spans="1:2" x14ac:dyDescent="0.2">
      <c r="A452" s="15">
        <v>60406</v>
      </c>
      <c r="B452" t="str">
        <f>_xlfn.IFNA(IF(VLOOKUP(A452,MD!$A:$N,3,0) = "-","MEDION","PEAQ"),"")</f>
        <v>PEAQ</v>
      </c>
    </row>
    <row r="453" spans="1:2" x14ac:dyDescent="0.2">
      <c r="A453" s="15">
        <v>60547</v>
      </c>
      <c r="B453" t="str">
        <f>_xlfn.IFNA(IF(VLOOKUP(A453,MD!$A:$N,3,0) = "-","MEDION","PEAQ"),"")</f>
        <v>PEAQ</v>
      </c>
    </row>
    <row r="454" spans="1:2" x14ac:dyDescent="0.2">
      <c r="A454" s="15">
        <v>60469</v>
      </c>
      <c r="B454" t="str">
        <f>_xlfn.IFNA(IF(VLOOKUP(A454,MD!$A:$N,3,0) = "-","MEDION","PEAQ"),"")</f>
        <v>PEAQ</v>
      </c>
    </row>
    <row r="455" spans="1:2" x14ac:dyDescent="0.2">
      <c r="A455" s="17">
        <v>20064114</v>
      </c>
      <c r="B455" t="str">
        <f>_xlfn.IFNA(IF(VLOOKUP(A455,MD!$A:$N,3,0) = "-","MEDION","PEAQ"),"")</f>
        <v/>
      </c>
    </row>
    <row r="456" spans="1:2" x14ac:dyDescent="0.2">
      <c r="A456" s="15">
        <v>60850</v>
      </c>
      <c r="B456" t="str">
        <f>_xlfn.IFNA(IF(VLOOKUP(A456,MD!$A:$N,3,0) = "-","MEDION","PEAQ"),"")</f>
        <v>PEAQ</v>
      </c>
    </row>
    <row r="457" spans="1:2" x14ac:dyDescent="0.2">
      <c r="A457" s="17">
        <v>20062955</v>
      </c>
      <c r="B457" t="str">
        <f>_xlfn.IFNA(IF(VLOOKUP(A457,MD!$A:$N,3,0) = "-","MEDION","PEAQ"),"")</f>
        <v/>
      </c>
    </row>
    <row r="458" spans="1:2" x14ac:dyDescent="0.2">
      <c r="A458" s="15">
        <v>60262</v>
      </c>
      <c r="B458" t="str">
        <f>_xlfn.IFNA(IF(VLOOKUP(A458,MD!$A:$N,3,0) = "-","MEDION","PEAQ"),"")</f>
        <v>PEAQ</v>
      </c>
    </row>
    <row r="459" spans="1:2" x14ac:dyDescent="0.2">
      <c r="A459" s="15">
        <v>60261</v>
      </c>
      <c r="B459" t="str">
        <f>_xlfn.IFNA(IF(VLOOKUP(A459,MD!$A:$N,3,0) = "-","MEDION","PEAQ"),"")</f>
        <v>PEAQ</v>
      </c>
    </row>
    <row r="460" spans="1:2" x14ac:dyDescent="0.2">
      <c r="A460" s="15">
        <v>60359</v>
      </c>
      <c r="B460" t="str">
        <f>_xlfn.IFNA(IF(VLOOKUP(A460,MD!$A:$N,3,0) = "-","MEDION","PEAQ"),"")</f>
        <v>PEAQ</v>
      </c>
    </row>
    <row r="461" spans="1:2" x14ac:dyDescent="0.2">
      <c r="A461" s="17">
        <v>20062393</v>
      </c>
      <c r="B461" t="str">
        <f>_xlfn.IFNA(IF(VLOOKUP(A461,MD!$A:$N,3,0) = "-","MEDION","PEAQ"),"")</f>
        <v/>
      </c>
    </row>
    <row r="462" spans="1:2" x14ac:dyDescent="0.2">
      <c r="A462" s="15">
        <v>60218</v>
      </c>
      <c r="B462" t="str">
        <f>_xlfn.IFNA(IF(VLOOKUP(A462,MD!$A:$N,3,0) = "-","MEDION","PEAQ"),"")</f>
        <v>PEAQ</v>
      </c>
    </row>
    <row r="463" spans="1:2" x14ac:dyDescent="0.2">
      <c r="A463" s="15">
        <v>60249</v>
      </c>
      <c r="B463" t="str">
        <f>_xlfn.IFNA(IF(VLOOKUP(A463,MD!$A:$N,3,0) = "-","MEDION","PEAQ"),"")</f>
        <v>PEAQ</v>
      </c>
    </row>
    <row r="464" spans="1:2" x14ac:dyDescent="0.2">
      <c r="A464" s="15">
        <v>60259</v>
      </c>
      <c r="B464" t="str">
        <f>_xlfn.IFNA(IF(VLOOKUP(A464,MD!$A:$N,3,0) = "-","MEDION","PEAQ"),"")</f>
        <v>PEAQ</v>
      </c>
    </row>
    <row r="465" spans="1:2" x14ac:dyDescent="0.2">
      <c r="A465" s="15">
        <v>60142</v>
      </c>
      <c r="B465" t="str">
        <f>_xlfn.IFNA(IF(VLOOKUP(A465,MD!$A:$N,3,0) = "-","MEDION","PEAQ"),"")</f>
        <v>PEAQ</v>
      </c>
    </row>
    <row r="466" spans="1:2" x14ac:dyDescent="0.2">
      <c r="A466" s="15">
        <v>60080</v>
      </c>
      <c r="B466" t="str">
        <f>_xlfn.IFNA(IF(VLOOKUP(A466,MD!$A:$N,3,0) = "-","MEDION","PEAQ"),"")</f>
        <v>PEAQ</v>
      </c>
    </row>
    <row r="467" spans="1:2" x14ac:dyDescent="0.2">
      <c r="A467" s="17">
        <v>20062972</v>
      </c>
      <c r="B467" t="str">
        <f>_xlfn.IFNA(IF(VLOOKUP(A467,MD!$A:$N,3,0) = "-","MEDION","PEAQ"),"")</f>
        <v/>
      </c>
    </row>
    <row r="468" spans="1:2" x14ac:dyDescent="0.2">
      <c r="A468" s="15">
        <v>60330</v>
      </c>
      <c r="B468" t="str">
        <f>_xlfn.IFNA(IF(VLOOKUP(A468,MD!$A:$N,3,0) = "-","MEDION","PEAQ"),"")</f>
        <v>PEAQ</v>
      </c>
    </row>
    <row r="469" spans="1:2" x14ac:dyDescent="0.2">
      <c r="A469" s="17" t="s">
        <v>621</v>
      </c>
      <c r="B469" t="str">
        <f>_xlfn.IFNA(IF(VLOOKUP(A469,MD!$A:$N,3,0) = "-","MEDION","PEAQ"),"")</f>
        <v/>
      </c>
    </row>
    <row r="470" spans="1:2" x14ac:dyDescent="0.2">
      <c r="A470" s="15">
        <v>60111</v>
      </c>
      <c r="B470" t="str">
        <f>_xlfn.IFNA(IF(VLOOKUP(A470,MD!$A:$N,3,0) = "-","MEDION","PEAQ"),"")</f>
        <v>PEAQ</v>
      </c>
    </row>
    <row r="471" spans="1:2" x14ac:dyDescent="0.2">
      <c r="A471" s="15">
        <v>60253</v>
      </c>
      <c r="B471" t="str">
        <f>_xlfn.IFNA(IF(VLOOKUP(A471,MD!$A:$N,3,0) = "-","MEDION","PEAQ"),"")</f>
        <v>PEAQ</v>
      </c>
    </row>
    <row r="472" spans="1:2" x14ac:dyDescent="0.2">
      <c r="A472" s="15">
        <v>60108</v>
      </c>
      <c r="B472" t="str">
        <f>_xlfn.IFNA(IF(VLOOKUP(A472,MD!$A:$N,3,0) = "-","MEDION","PEAQ"),"")</f>
        <v>PEAQ</v>
      </c>
    </row>
    <row r="473" spans="1:2" x14ac:dyDescent="0.2">
      <c r="A473" s="15">
        <v>60110</v>
      </c>
      <c r="B473" t="str">
        <f>_xlfn.IFNA(IF(VLOOKUP(A473,MD!$A:$N,3,0) = "-","MEDION","PEAQ"),"")</f>
        <v>PEAQ</v>
      </c>
    </row>
    <row r="474" spans="1:2" x14ac:dyDescent="0.2">
      <c r="A474" s="17">
        <v>20062490</v>
      </c>
      <c r="B474" t="str">
        <f>_xlfn.IFNA(IF(VLOOKUP(A474,MD!$A:$N,3,0) = "-","MEDION","PEAQ"),"")</f>
        <v/>
      </c>
    </row>
    <row r="475" spans="1:2" x14ac:dyDescent="0.2">
      <c r="A475" s="15">
        <v>60193</v>
      </c>
      <c r="B475" t="str">
        <f>_xlfn.IFNA(IF(VLOOKUP(A475,MD!$A:$N,3,0) = "-","MEDION","PEAQ"),"")</f>
        <v>PEAQ</v>
      </c>
    </row>
    <row r="476" spans="1:2" x14ac:dyDescent="0.2">
      <c r="A476" s="17">
        <v>20062822</v>
      </c>
      <c r="B476" t="str">
        <f>_xlfn.IFNA(IF(VLOOKUP(A476,MD!$A:$N,3,0) = "-","MEDION","PEAQ"),"")</f>
        <v/>
      </c>
    </row>
    <row r="477" spans="1:2" x14ac:dyDescent="0.2">
      <c r="A477" s="15">
        <v>60226</v>
      </c>
      <c r="B477" t="str">
        <f>_xlfn.IFNA(IF(VLOOKUP(A477,MD!$A:$N,3,0) = "-","MEDION","PEAQ"),"")</f>
        <v>PEAQ</v>
      </c>
    </row>
    <row r="478" spans="1:2" x14ac:dyDescent="0.2">
      <c r="A478" s="15">
        <v>60234</v>
      </c>
      <c r="B478" t="str">
        <f>_xlfn.IFNA(IF(VLOOKUP(A478,MD!$A:$N,3,0) = "-","MEDION","PEAQ"),"")</f>
        <v>PEAQ</v>
      </c>
    </row>
    <row r="479" spans="1:2" x14ac:dyDescent="0.2">
      <c r="A479" s="15">
        <v>60311</v>
      </c>
      <c r="B479" t="str">
        <f>_xlfn.IFNA(IF(VLOOKUP(A479,MD!$A:$N,3,0) = "-","MEDION","PEAQ"),"")</f>
        <v>PEAQ</v>
      </c>
    </row>
    <row r="480" spans="1:2" x14ac:dyDescent="0.2">
      <c r="A480" s="17">
        <v>20062971</v>
      </c>
      <c r="B480" t="str">
        <f>_xlfn.IFNA(IF(VLOOKUP(A480,MD!$A:$N,3,0) = "-","MEDION","PEAQ"),"")</f>
        <v/>
      </c>
    </row>
    <row r="481" spans="1:2" x14ac:dyDescent="0.2">
      <c r="A481" s="15">
        <v>60320</v>
      </c>
      <c r="B481" t="str">
        <f>_xlfn.IFNA(IF(VLOOKUP(A481,MD!$A:$N,3,0) = "-","MEDION","PEAQ"),"")</f>
        <v>PEAQ</v>
      </c>
    </row>
    <row r="482" spans="1:2" x14ac:dyDescent="0.2">
      <c r="A482" s="15">
        <v>60283</v>
      </c>
      <c r="B482" t="str">
        <f>_xlfn.IFNA(IF(VLOOKUP(A482,MD!$A:$N,3,0) = "-","MEDION","PEAQ"),"")</f>
        <v>PEAQ</v>
      </c>
    </row>
    <row r="483" spans="1:2" x14ac:dyDescent="0.2">
      <c r="A483" s="15">
        <v>60321</v>
      </c>
      <c r="B483" t="str">
        <f>_xlfn.IFNA(IF(VLOOKUP(A483,MD!$A:$N,3,0) = "-","MEDION","PEAQ"),"")</f>
        <v>PEAQ</v>
      </c>
    </row>
    <row r="484" spans="1:2" x14ac:dyDescent="0.2">
      <c r="A484" s="15">
        <v>60322</v>
      </c>
      <c r="B484" t="str">
        <f>_xlfn.IFNA(IF(VLOOKUP(A484,MD!$A:$N,3,0) = "-","MEDION","PEAQ"),"")</f>
        <v>PEAQ</v>
      </c>
    </row>
    <row r="485" spans="1:2" x14ac:dyDescent="0.2">
      <c r="A485" s="17">
        <v>20063299</v>
      </c>
      <c r="B485" t="str">
        <f>_xlfn.IFNA(IF(VLOOKUP(A485,MD!$A:$N,3,0) = "-","MEDION","PEAQ"),"")</f>
        <v/>
      </c>
    </row>
    <row r="486" spans="1:2" x14ac:dyDescent="0.2">
      <c r="A486" s="15">
        <v>60324</v>
      </c>
      <c r="B486" t="str">
        <f>_xlfn.IFNA(IF(VLOOKUP(A486,MD!$A:$N,3,0) = "-","MEDION","PEAQ"),"")</f>
        <v>PEAQ</v>
      </c>
    </row>
    <row r="487" spans="1:2" x14ac:dyDescent="0.2">
      <c r="A487" s="15">
        <v>60325</v>
      </c>
      <c r="B487" t="str">
        <f>_xlfn.IFNA(IF(VLOOKUP(A487,MD!$A:$N,3,0) = "-","MEDION","PEAQ"),"")</f>
        <v>PEAQ</v>
      </c>
    </row>
    <row r="488" spans="1:2" x14ac:dyDescent="0.2">
      <c r="A488" s="17">
        <v>20063957</v>
      </c>
      <c r="B488" t="str">
        <f>_xlfn.IFNA(IF(VLOOKUP(A488,MD!$A:$N,3,0) = "-","MEDION","PEAQ"),"")</f>
        <v/>
      </c>
    </row>
    <row r="489" spans="1:2" x14ac:dyDescent="0.2">
      <c r="A489" s="15">
        <v>60796</v>
      </c>
      <c r="B489" t="str">
        <f>_xlfn.IFNA(IF(VLOOKUP(A489,MD!$A:$N,3,0) = "-","MEDION","PEAQ"),"")</f>
        <v>PEAQ</v>
      </c>
    </row>
    <row r="490" spans="1:2" x14ac:dyDescent="0.2">
      <c r="A490" s="15">
        <v>60711</v>
      </c>
      <c r="B490" t="str">
        <f>_xlfn.IFNA(IF(VLOOKUP(A490,MD!$A:$N,3,0) = "-","MEDION","PEAQ"),"")</f>
        <v>PEAQ</v>
      </c>
    </row>
    <row r="491" spans="1:2" x14ac:dyDescent="0.2">
      <c r="A491" s="15">
        <v>60735</v>
      </c>
      <c r="B491" t="str">
        <f>_xlfn.IFNA(IF(VLOOKUP(A491,MD!$A:$N,3,0) = "-","MEDION","PEAQ"),"")</f>
        <v>PEAQ</v>
      </c>
    </row>
    <row r="492" spans="1:2" x14ac:dyDescent="0.2">
      <c r="A492" s="15">
        <v>60797</v>
      </c>
      <c r="B492" t="str">
        <f>_xlfn.IFNA(IF(VLOOKUP(A492,MD!$A:$N,3,0) = "-","MEDION","PEAQ"),"")</f>
        <v>PEAQ</v>
      </c>
    </row>
    <row r="493" spans="1:2" x14ac:dyDescent="0.2">
      <c r="A493" s="15">
        <v>60736</v>
      </c>
      <c r="B493" t="str">
        <f>_xlfn.IFNA(IF(VLOOKUP(A493,MD!$A:$N,3,0) = "-","MEDION","PEAQ"),"")</f>
        <v>PEAQ</v>
      </c>
    </row>
    <row r="494" spans="1:2" x14ac:dyDescent="0.2">
      <c r="A494" s="17">
        <v>20063532</v>
      </c>
      <c r="B494" t="str">
        <f>_xlfn.IFNA(IF(VLOOKUP(A494,MD!$A:$N,3,0) = "-","MEDION","PEAQ"),"")</f>
        <v/>
      </c>
    </row>
    <row r="495" spans="1:2" x14ac:dyDescent="0.2">
      <c r="A495" s="15">
        <v>60498</v>
      </c>
      <c r="B495" t="str">
        <f>_xlfn.IFNA(IF(VLOOKUP(A495,MD!$A:$N,3,0) = "-","MEDION","PEAQ"),"")</f>
        <v>PEAQ</v>
      </c>
    </row>
    <row r="496" spans="1:2" x14ac:dyDescent="0.2">
      <c r="A496" s="15">
        <v>60630</v>
      </c>
      <c r="B496" t="str">
        <f>_xlfn.IFNA(IF(VLOOKUP(A496,MD!$A:$N,3,0) = "-","MEDION","PEAQ"),"")</f>
        <v>PEAQ</v>
      </c>
    </row>
    <row r="497" spans="1:2" x14ac:dyDescent="0.2">
      <c r="A497" s="15">
        <v>60499</v>
      </c>
      <c r="B497" t="str">
        <f>_xlfn.IFNA(IF(VLOOKUP(A497,MD!$A:$N,3,0) = "-","MEDION","PEAQ"),"")</f>
        <v>PEAQ</v>
      </c>
    </row>
    <row r="498" spans="1:2" x14ac:dyDescent="0.2">
      <c r="A498" s="15">
        <v>60460</v>
      </c>
      <c r="B498" t="str">
        <f>_xlfn.IFNA(IF(VLOOKUP(A498,MD!$A:$N,3,0) = "-","MEDION","PEAQ"),"")</f>
        <v>PEAQ</v>
      </c>
    </row>
    <row r="499" spans="1:2" x14ac:dyDescent="0.2">
      <c r="A499" s="15">
        <v>60452</v>
      </c>
      <c r="B499" t="str">
        <f>_xlfn.IFNA(IF(VLOOKUP(A499,MD!$A:$N,3,0) = "-","MEDION","PEAQ"),"")</f>
        <v>PEAQ</v>
      </c>
    </row>
    <row r="500" spans="1:2" x14ac:dyDescent="0.2">
      <c r="A500" s="15">
        <v>60461</v>
      </c>
      <c r="B500" t="str">
        <f>_xlfn.IFNA(IF(VLOOKUP(A500,MD!$A:$N,3,0) = "-","MEDION","PEAQ"),"")</f>
        <v>PEAQ</v>
      </c>
    </row>
    <row r="501" spans="1:2" x14ac:dyDescent="0.2">
      <c r="A501" s="15">
        <v>60564</v>
      </c>
      <c r="B501" t="str">
        <f>_xlfn.IFNA(IF(VLOOKUP(A501,MD!$A:$N,3,0) = "-","MEDION","PEAQ"),"")</f>
        <v>PEAQ</v>
      </c>
    </row>
    <row r="502" spans="1:2" x14ac:dyDescent="0.2">
      <c r="A502" s="17">
        <v>20062423</v>
      </c>
      <c r="B502" t="str">
        <f>_xlfn.IFNA(IF(VLOOKUP(A502,MD!$A:$N,3,0) = "-","MEDION","PEAQ"),"")</f>
        <v/>
      </c>
    </row>
    <row r="503" spans="1:2" x14ac:dyDescent="0.2">
      <c r="A503" s="15">
        <v>60244</v>
      </c>
      <c r="B503" t="str">
        <f>_xlfn.IFNA(IF(VLOOKUP(A503,MD!$A:$N,3,0) = "-","MEDION","PEAQ"),"")</f>
        <v>PEAQ</v>
      </c>
    </row>
    <row r="504" spans="1:2" x14ac:dyDescent="0.2">
      <c r="A504" s="15">
        <v>60289</v>
      </c>
      <c r="B504" t="str">
        <f>_xlfn.IFNA(IF(VLOOKUP(A504,MD!$A:$N,3,0) = "-","MEDION","PEAQ"),"")</f>
        <v>PEAQ</v>
      </c>
    </row>
    <row r="505" spans="1:2" x14ac:dyDescent="0.2">
      <c r="A505" s="15">
        <v>60237</v>
      </c>
      <c r="B505" t="str">
        <f>_xlfn.IFNA(IF(VLOOKUP(A505,MD!$A:$N,3,0) = "-","MEDION","PEAQ"),"")</f>
        <v>PEAQ</v>
      </c>
    </row>
    <row r="506" spans="1:2" x14ac:dyDescent="0.2">
      <c r="A506" s="15">
        <v>60247</v>
      </c>
      <c r="B506" t="str">
        <f>_xlfn.IFNA(IF(VLOOKUP(A506,MD!$A:$N,3,0) = "-","MEDION","PEAQ"),"")</f>
        <v>PEAQ</v>
      </c>
    </row>
    <row r="507" spans="1:2" x14ac:dyDescent="0.2">
      <c r="A507" s="15">
        <v>60238</v>
      </c>
      <c r="B507" t="str">
        <f>_xlfn.IFNA(IF(VLOOKUP(A507,MD!$A:$N,3,0) = "-","MEDION","PEAQ"),"")</f>
        <v>PEAQ</v>
      </c>
    </row>
    <row r="508" spans="1:2" x14ac:dyDescent="0.2">
      <c r="A508" s="15">
        <v>60243</v>
      </c>
      <c r="B508" t="str">
        <f>_xlfn.IFNA(IF(VLOOKUP(A508,MD!$A:$N,3,0) = "-","MEDION","PEAQ"),"")</f>
        <v>PEAQ</v>
      </c>
    </row>
    <row r="509" spans="1:2" x14ac:dyDescent="0.2">
      <c r="A509" s="15">
        <v>60122</v>
      </c>
      <c r="B509" t="str">
        <f>_xlfn.IFNA(IF(VLOOKUP(A509,MD!$A:$N,3,0) = "-","MEDION","PEAQ"),"")</f>
        <v>PEAQ</v>
      </c>
    </row>
    <row r="510" spans="1:2" x14ac:dyDescent="0.2">
      <c r="A510" s="17">
        <v>20062970</v>
      </c>
      <c r="B510" t="str">
        <f>_xlfn.IFNA(IF(VLOOKUP(A510,MD!$A:$N,3,0) = "-","MEDION","PEAQ"),"")</f>
        <v/>
      </c>
    </row>
    <row r="511" spans="1:2" x14ac:dyDescent="0.2">
      <c r="A511" s="15">
        <v>60326</v>
      </c>
      <c r="B511" t="str">
        <f>_xlfn.IFNA(IF(VLOOKUP(A511,MD!$A:$N,3,0) = "-","MEDION","PEAQ"),"")</f>
        <v>PEAQ</v>
      </c>
    </row>
    <row r="512" spans="1:2" x14ac:dyDescent="0.2">
      <c r="A512" s="17">
        <v>20064185</v>
      </c>
      <c r="B512" t="str">
        <f>_xlfn.IFNA(IF(VLOOKUP(A512,MD!$A:$N,3,0) = "-","MEDION","PEAQ"),"")</f>
        <v/>
      </c>
    </row>
    <row r="513" spans="1:2" x14ac:dyDescent="0.2">
      <c r="A513" s="15">
        <v>60900</v>
      </c>
      <c r="B513" t="str">
        <f>_xlfn.IFNA(IF(VLOOKUP(A513,MD!$A:$N,3,0) = "-","MEDION","PEAQ"),"")</f>
        <v>PEAQ</v>
      </c>
    </row>
    <row r="514" spans="1:2" x14ac:dyDescent="0.2">
      <c r="A514" s="15">
        <v>61700</v>
      </c>
      <c r="B514" t="str">
        <f>_xlfn.IFNA(IF(VLOOKUP(A514,MD!$A:$N,3,0) = "-","MEDION","PEAQ"),"")</f>
        <v>PEAQ</v>
      </c>
    </row>
    <row r="515" spans="1:2" x14ac:dyDescent="0.2">
      <c r="A515" s="17">
        <v>20063641</v>
      </c>
      <c r="B515" t="str">
        <f>_xlfn.IFNA(IF(VLOOKUP(A515,MD!$A:$N,3,0) = "-","MEDION","PEAQ"),"")</f>
        <v/>
      </c>
    </row>
    <row r="516" spans="1:2" x14ac:dyDescent="0.2">
      <c r="A516" s="15">
        <v>60435</v>
      </c>
      <c r="B516" t="str">
        <f>_xlfn.IFNA(IF(VLOOKUP(A516,MD!$A:$N,3,0) = "-","MEDION","PEAQ"),"")</f>
        <v>PEAQ</v>
      </c>
    </row>
    <row r="517" spans="1:2" x14ac:dyDescent="0.2">
      <c r="A517" s="15">
        <v>60436</v>
      </c>
      <c r="B517" t="str">
        <f>_xlfn.IFNA(IF(VLOOKUP(A517,MD!$A:$N,3,0) = "-","MEDION","PEAQ"),"")</f>
        <v>PEAQ</v>
      </c>
    </row>
    <row r="518" spans="1:2" x14ac:dyDescent="0.2">
      <c r="A518" s="15">
        <v>60635</v>
      </c>
      <c r="B518" t="str">
        <f>_xlfn.IFNA(IF(VLOOKUP(A518,MD!$A:$N,3,0) = "-","MEDION","PEAQ"),"")</f>
        <v>PEAQ</v>
      </c>
    </row>
    <row r="519" spans="1:2" x14ac:dyDescent="0.2">
      <c r="A519" s="15">
        <v>60634</v>
      </c>
      <c r="B519" t="str">
        <f>_xlfn.IFNA(IF(VLOOKUP(A519,MD!$A:$N,3,0) = "-","MEDION","PEAQ"),"")</f>
        <v>PEAQ</v>
      </c>
    </row>
    <row r="520" spans="1:2" x14ac:dyDescent="0.2">
      <c r="A520" s="17">
        <v>20063399</v>
      </c>
      <c r="B520" t="str">
        <f>_xlfn.IFNA(IF(VLOOKUP(A520,MD!$A:$N,3,0) = "-","MEDION","PEAQ"),"")</f>
        <v/>
      </c>
    </row>
    <row r="521" spans="1:2" x14ac:dyDescent="0.2">
      <c r="A521" s="15">
        <v>60294</v>
      </c>
      <c r="B521" t="str">
        <f>_xlfn.IFNA(IF(VLOOKUP(A521,MD!$A:$N,3,0) = "-","MEDION","PEAQ"),"")</f>
        <v>PEAQ</v>
      </c>
    </row>
    <row r="522" spans="1:2" x14ac:dyDescent="0.2">
      <c r="A522" s="17">
        <v>20063875</v>
      </c>
      <c r="B522" t="str">
        <f>_xlfn.IFNA(IF(VLOOKUP(A522,MD!$A:$N,3,0) = "-","MEDION","PEAQ"),"")</f>
        <v/>
      </c>
    </row>
    <row r="523" spans="1:2" x14ac:dyDescent="0.2">
      <c r="A523" s="15">
        <v>60550</v>
      </c>
      <c r="B523" t="str">
        <f>_xlfn.IFNA(IF(VLOOKUP(A523,MD!$A:$N,3,0) = "-","MEDION","PEAQ"),"")</f>
        <v>PEAQ</v>
      </c>
    </row>
    <row r="524" spans="1:2" x14ac:dyDescent="0.2">
      <c r="A524" s="17">
        <v>20063861</v>
      </c>
      <c r="B524" t="str">
        <f>_xlfn.IFNA(IF(VLOOKUP(A524,MD!$A:$N,3,0) = "-","MEDION","PEAQ"),"")</f>
        <v/>
      </c>
    </row>
    <row r="525" spans="1:2" x14ac:dyDescent="0.2">
      <c r="A525" s="15">
        <v>60800</v>
      </c>
      <c r="B525" t="str">
        <f>_xlfn.IFNA(IF(VLOOKUP(A525,MD!$A:$N,3,0) = "-","MEDION","PEAQ"),"")</f>
        <v>PEAQ</v>
      </c>
    </row>
    <row r="526" spans="1:2" x14ac:dyDescent="0.2">
      <c r="A526" s="17">
        <v>20062398</v>
      </c>
      <c r="B526" t="str">
        <f>_xlfn.IFNA(IF(VLOOKUP(A526,MD!$A:$N,3,0) = "-","MEDION","PEAQ"),"")</f>
        <v/>
      </c>
    </row>
    <row r="527" spans="1:2" x14ac:dyDescent="0.2">
      <c r="A527" s="15">
        <v>60179</v>
      </c>
      <c r="B527" t="str">
        <f>_xlfn.IFNA(IF(VLOOKUP(A527,MD!$A:$N,3,0) = "-","MEDION","PEAQ"),"")</f>
        <v>PEAQ</v>
      </c>
    </row>
    <row r="528" spans="1:2" x14ac:dyDescent="0.2">
      <c r="A528" s="15">
        <v>60337</v>
      </c>
      <c r="B528" t="str">
        <f>_xlfn.IFNA(IF(VLOOKUP(A528,MD!$A:$N,3,0) = "-","MEDION","PEAQ"),"")</f>
        <v>PEAQ</v>
      </c>
    </row>
    <row r="529" spans="1:2" x14ac:dyDescent="0.2">
      <c r="A529" s="17">
        <v>20062665</v>
      </c>
      <c r="B529" t="str">
        <f>_xlfn.IFNA(IF(VLOOKUP(A529,MD!$A:$N,3,0) = "-","MEDION","PEAQ"),"")</f>
        <v/>
      </c>
    </row>
    <row r="530" spans="1:2" x14ac:dyDescent="0.2">
      <c r="A530" s="15">
        <v>60120</v>
      </c>
      <c r="B530" t="str">
        <f>_xlfn.IFNA(IF(VLOOKUP(A530,MD!$A:$N,3,0) = "-","MEDION","PEAQ"),"")</f>
        <v>PEAQ</v>
      </c>
    </row>
    <row r="531" spans="1:2" x14ac:dyDescent="0.2">
      <c r="A531" s="15">
        <v>60138</v>
      </c>
      <c r="B531" t="str">
        <f>_xlfn.IFNA(IF(VLOOKUP(A531,MD!$A:$N,3,0) = "-","MEDION","PEAQ"),"")</f>
        <v>PEAQ</v>
      </c>
    </row>
    <row r="532" spans="1:2" x14ac:dyDescent="0.2">
      <c r="A532" s="15">
        <v>60398</v>
      </c>
      <c r="B532" t="str">
        <f>_xlfn.IFNA(IF(VLOOKUP(A532,MD!$A:$N,3,0) = "-","MEDION","PEAQ"),"")</f>
        <v>PEAQ</v>
      </c>
    </row>
    <row r="533" spans="1:2" x14ac:dyDescent="0.2">
      <c r="A533" s="15">
        <v>60146</v>
      </c>
      <c r="B533" t="str">
        <f>_xlfn.IFNA(IF(VLOOKUP(A533,MD!$A:$N,3,0) = "-","MEDION","PEAQ"),"")</f>
        <v>PEAQ</v>
      </c>
    </row>
    <row r="534" spans="1:2" x14ac:dyDescent="0.2">
      <c r="A534" s="17">
        <v>20062949</v>
      </c>
      <c r="B534" t="str">
        <f>_xlfn.IFNA(IF(VLOOKUP(A534,MD!$A:$N,3,0) = "-","MEDION","PEAQ"),"")</f>
        <v/>
      </c>
    </row>
    <row r="535" spans="1:2" x14ac:dyDescent="0.2">
      <c r="A535" s="15">
        <v>60274</v>
      </c>
      <c r="B535" t="str">
        <f>_xlfn.IFNA(IF(VLOOKUP(A535,MD!$A:$N,3,0) = "-","MEDION","PEAQ"),"")</f>
        <v>PEAQ</v>
      </c>
    </row>
    <row r="536" spans="1:2" x14ac:dyDescent="0.2">
      <c r="A536" s="17">
        <v>20062180</v>
      </c>
      <c r="B536" t="str">
        <f>_xlfn.IFNA(IF(VLOOKUP(A536,MD!$A:$N,3,0) = "-","MEDION","PEAQ"),"")</f>
        <v/>
      </c>
    </row>
    <row r="537" spans="1:2" x14ac:dyDescent="0.2">
      <c r="A537" s="15">
        <v>99951</v>
      </c>
      <c r="B537" t="str">
        <f>_xlfn.IFNA(IF(VLOOKUP(A537,MD!$A:$N,3,0) = "-","MEDION","PEAQ"),"")</f>
        <v>PEAQ</v>
      </c>
    </row>
    <row r="538" spans="1:2" x14ac:dyDescent="0.2">
      <c r="A538" s="15">
        <v>99952</v>
      </c>
      <c r="B538" t="str">
        <f>_xlfn.IFNA(IF(VLOOKUP(A538,MD!$A:$N,3,0) = "-","MEDION","PEAQ"),"")</f>
        <v>PEAQ</v>
      </c>
    </row>
    <row r="539" spans="1:2" x14ac:dyDescent="0.2">
      <c r="A539" s="17">
        <v>20064803</v>
      </c>
      <c r="B539" t="str">
        <f>_xlfn.IFNA(IF(VLOOKUP(A539,MD!$A:$N,3,0) = "-","MEDION","PEAQ"),"")</f>
        <v/>
      </c>
    </row>
    <row r="540" spans="1:2" x14ac:dyDescent="0.2">
      <c r="A540" s="15">
        <v>60794</v>
      </c>
      <c r="B540" t="str">
        <f>_xlfn.IFNA(IF(VLOOKUP(A540,MD!$A:$N,3,0) = "-","MEDION","PEAQ"),"")</f>
        <v>PEAQ</v>
      </c>
    </row>
    <row r="541" spans="1:2" x14ac:dyDescent="0.2">
      <c r="A541" s="15">
        <v>60793</v>
      </c>
      <c r="B541" t="str">
        <f>_xlfn.IFNA(IF(VLOOKUP(A541,MD!$A:$N,3,0) = "-","MEDION","PEAQ"),"")</f>
        <v>PEAQ</v>
      </c>
    </row>
    <row r="542" spans="1:2" x14ac:dyDescent="0.2">
      <c r="A542" s="17">
        <v>20063625</v>
      </c>
      <c r="B542" t="str">
        <f>_xlfn.IFNA(IF(VLOOKUP(A542,MD!$A:$N,3,0) = "-","MEDION","PEAQ"),"")</f>
        <v/>
      </c>
    </row>
    <row r="543" spans="1:2" x14ac:dyDescent="0.2">
      <c r="A543" s="15">
        <v>60750</v>
      </c>
      <c r="B543" t="str">
        <f>_xlfn.IFNA(IF(VLOOKUP(A543,MD!$A:$N,3,0) = "-","MEDION","PEAQ"),"")</f>
        <v>PEAQ</v>
      </c>
    </row>
    <row r="544" spans="1:2" x14ac:dyDescent="0.2">
      <c r="A544" s="17">
        <v>20062189</v>
      </c>
      <c r="B544" t="str">
        <f>_xlfn.IFNA(IF(VLOOKUP(A544,MD!$A:$N,3,0) = "-","MEDION","PEAQ"),"")</f>
        <v/>
      </c>
    </row>
    <row r="545" spans="1:2" x14ac:dyDescent="0.2">
      <c r="A545" s="15">
        <v>60167</v>
      </c>
      <c r="B545" t="str">
        <f>_xlfn.IFNA(IF(VLOOKUP(A545,MD!$A:$N,3,0) = "-","MEDION","PEAQ"),"")</f>
        <v>PEAQ</v>
      </c>
    </row>
    <row r="546" spans="1:2" x14ac:dyDescent="0.2">
      <c r="A546" s="15">
        <v>60546</v>
      </c>
      <c r="B546" t="str">
        <f>_xlfn.IFNA(IF(VLOOKUP(A546,MD!$A:$N,3,0) = "-","MEDION","PEAQ"),"")</f>
        <v>PEAQ</v>
      </c>
    </row>
    <row r="547" spans="1:2" x14ac:dyDescent="0.2">
      <c r="A547" s="15">
        <v>99946</v>
      </c>
      <c r="B547" t="str">
        <f>_xlfn.IFNA(IF(VLOOKUP(A547,MD!$A:$N,3,0) = "-","MEDION","PEAQ"),"")</f>
        <v>PEAQ</v>
      </c>
    </row>
    <row r="548" spans="1:2" x14ac:dyDescent="0.2">
      <c r="A548" s="17">
        <v>20063469</v>
      </c>
      <c r="B548" t="str">
        <f>_xlfn.IFNA(IF(VLOOKUP(A548,MD!$A:$N,3,0) = "-","MEDION","PEAQ"),"")</f>
        <v/>
      </c>
    </row>
    <row r="549" spans="1:2" x14ac:dyDescent="0.2">
      <c r="A549" s="15">
        <v>60496</v>
      </c>
      <c r="B549" t="str">
        <f>_xlfn.IFNA(IF(VLOOKUP(A549,MD!$A:$N,3,0) = "-","MEDION","PEAQ"),"")</f>
        <v>PEAQ</v>
      </c>
    </row>
    <row r="550" spans="1:2" x14ac:dyDescent="0.2">
      <c r="A550" s="15">
        <v>60507</v>
      </c>
      <c r="B550" t="str">
        <f>_xlfn.IFNA(IF(VLOOKUP(A550,MD!$A:$N,3,0) = "-","MEDION","PEAQ"),"")</f>
        <v>PEAQ</v>
      </c>
    </row>
    <row r="551" spans="1:2" x14ac:dyDescent="0.2">
      <c r="A551" s="17">
        <v>20064573</v>
      </c>
      <c r="B551" t="str">
        <f>_xlfn.IFNA(IF(VLOOKUP(A551,MD!$A:$N,3,0) = "-","MEDION","PEAQ"),"")</f>
        <v/>
      </c>
    </row>
    <row r="552" spans="1:2" x14ac:dyDescent="0.2">
      <c r="A552" s="15">
        <v>60827</v>
      </c>
      <c r="B552" t="str">
        <f>_xlfn.IFNA(IF(VLOOKUP(A552,MD!$A:$N,3,0) = "-","MEDION","PEAQ"),"")</f>
        <v>PEAQ</v>
      </c>
    </row>
    <row r="553" spans="1:2" x14ac:dyDescent="0.2">
      <c r="A553" s="17">
        <v>20064549</v>
      </c>
      <c r="B553" t="str">
        <f>_xlfn.IFNA(IF(VLOOKUP(A553,MD!$A:$N,3,0) = "-","MEDION","PEAQ"),"")</f>
        <v/>
      </c>
    </row>
    <row r="554" spans="1:2" x14ac:dyDescent="0.2">
      <c r="A554" s="15">
        <v>60812</v>
      </c>
      <c r="B554" t="str">
        <f>_xlfn.IFNA(IF(VLOOKUP(A554,MD!$A:$N,3,0) = "-","MEDION","PEAQ"),"")</f>
        <v>PEAQ</v>
      </c>
    </row>
    <row r="555" spans="1:2" x14ac:dyDescent="0.2">
      <c r="A555" s="17">
        <v>20064475</v>
      </c>
      <c r="B555" t="str">
        <f>_xlfn.IFNA(IF(VLOOKUP(A555,MD!$A:$N,3,0) = "-","MEDION","PEAQ"),"")</f>
        <v/>
      </c>
    </row>
    <row r="556" spans="1:2" x14ac:dyDescent="0.2">
      <c r="A556" s="15">
        <v>60848</v>
      </c>
      <c r="B556" t="str">
        <f>_xlfn.IFNA(IF(VLOOKUP(A556,MD!$A:$N,3,0) = "-","MEDION","PEAQ"),"")</f>
        <v>PEAQ</v>
      </c>
    </row>
    <row r="557" spans="1:2" x14ac:dyDescent="0.2">
      <c r="A557" s="17">
        <v>20062205</v>
      </c>
      <c r="B557" t="str">
        <f>_xlfn.IFNA(IF(VLOOKUP(A557,MD!$A:$N,3,0) = "-","MEDION","PEAQ"),"")</f>
        <v/>
      </c>
    </row>
    <row r="558" spans="1:2" x14ac:dyDescent="0.2">
      <c r="A558" s="15">
        <v>99972</v>
      </c>
      <c r="B558" t="str">
        <f>_xlfn.IFNA(IF(VLOOKUP(A558,MD!$A:$N,3,0) = "-","MEDION","PEAQ"),"")</f>
        <v>PEAQ</v>
      </c>
    </row>
    <row r="559" spans="1:2" x14ac:dyDescent="0.2">
      <c r="A559" s="15">
        <v>99971</v>
      </c>
      <c r="B559" t="str">
        <f>_xlfn.IFNA(IF(VLOOKUP(A559,MD!$A:$N,3,0) = "-","MEDION","PEAQ"),"")</f>
        <v>PEAQ</v>
      </c>
    </row>
    <row r="560" spans="1:2" x14ac:dyDescent="0.2">
      <c r="A560" s="15">
        <v>99998</v>
      </c>
      <c r="B560" t="str">
        <f>_xlfn.IFNA(IF(VLOOKUP(A560,MD!$A:$N,3,0) = "-","MEDION","PEAQ"),"")</f>
        <v>PEAQ</v>
      </c>
    </row>
    <row r="561" spans="1:2" x14ac:dyDescent="0.2">
      <c r="A561" s="15">
        <v>99982</v>
      </c>
      <c r="B561" t="str">
        <f>_xlfn.IFNA(IF(VLOOKUP(A561,MD!$A:$N,3,0) = "-","MEDION","PEAQ"),"")</f>
        <v>PEAQ</v>
      </c>
    </row>
    <row r="562" spans="1:2" x14ac:dyDescent="0.2">
      <c r="A562" s="17">
        <v>20061374</v>
      </c>
      <c r="B562" t="str">
        <f>_xlfn.IFNA(IF(VLOOKUP(A562,MD!$A:$N,3,0) = "-","MEDION","PEAQ"),"")</f>
        <v/>
      </c>
    </row>
    <row r="563" spans="1:2" x14ac:dyDescent="0.2">
      <c r="A563" s="15">
        <v>99702</v>
      </c>
      <c r="B563" t="str">
        <f>_xlfn.IFNA(IF(VLOOKUP(A563,MD!$A:$N,3,0) = "-","MEDION","PEAQ"),"")</f>
        <v>PEAQ</v>
      </c>
    </row>
    <row r="564" spans="1:2" x14ac:dyDescent="0.2">
      <c r="A564" s="17">
        <v>20064577</v>
      </c>
      <c r="B564" t="str">
        <f>_xlfn.IFNA(IF(VLOOKUP(A564,MD!$A:$N,3,0) = "-","MEDION","PEAQ"),"")</f>
        <v/>
      </c>
    </row>
    <row r="565" spans="1:2" x14ac:dyDescent="0.2">
      <c r="A565" s="15">
        <v>61100</v>
      </c>
      <c r="B565" t="str">
        <f>_xlfn.IFNA(IF(VLOOKUP(A565,MD!$A:$N,3,0) = "-","MEDION","PEAQ"),"")</f>
        <v>PEAQ</v>
      </c>
    </row>
    <row r="566" spans="1:2" x14ac:dyDescent="0.2">
      <c r="A566" s="15">
        <v>61150</v>
      </c>
      <c r="B566" t="str">
        <f>_xlfn.IFNA(IF(VLOOKUP(A566,MD!$A:$N,3,0) = "-","MEDION","PEAQ"),"")</f>
        <v>PEAQ</v>
      </c>
    </row>
    <row r="567" spans="1:2" x14ac:dyDescent="0.2">
      <c r="A567" s="17">
        <v>20064695</v>
      </c>
      <c r="B567" t="str">
        <f>_xlfn.IFNA(IF(VLOOKUP(A567,MD!$A:$N,3,0) = "-","MEDION","PEAQ"),"")</f>
        <v/>
      </c>
    </row>
    <row r="568" spans="1:2" x14ac:dyDescent="0.2">
      <c r="A568" s="15">
        <v>61500</v>
      </c>
      <c r="B568" t="str">
        <f>_xlfn.IFNA(IF(VLOOKUP(A568,MD!$A:$N,3,0) = "-","MEDION","PEAQ"),"")</f>
        <v>PEAQ</v>
      </c>
    </row>
    <row r="569" spans="1:2" x14ac:dyDescent="0.2">
      <c r="A569" s="17">
        <v>20064036</v>
      </c>
      <c r="B569" t="str">
        <f>_xlfn.IFNA(IF(VLOOKUP(A569,MD!$A:$N,3,0) = "-","MEDION","PEAQ"),"")</f>
        <v/>
      </c>
    </row>
    <row r="570" spans="1:2" x14ac:dyDescent="0.2">
      <c r="A570" s="15">
        <v>61000</v>
      </c>
      <c r="B570" t="str">
        <f>_xlfn.IFNA(IF(VLOOKUP(A570,MD!$A:$N,3,0) = "-","MEDION","PEAQ"),"")</f>
        <v>PEAQ</v>
      </c>
    </row>
    <row r="571" spans="1:2" x14ac:dyDescent="0.2">
      <c r="A571" s="17">
        <v>20064220</v>
      </c>
      <c r="B571" t="str">
        <f>_xlfn.IFNA(IF(VLOOKUP(A571,MD!$A:$N,3,0) = "-","MEDION","PEAQ"),"")</f>
        <v/>
      </c>
    </row>
    <row r="572" spans="1:2" x14ac:dyDescent="0.2">
      <c r="A572" s="15">
        <v>60739</v>
      </c>
      <c r="B572" t="str">
        <f>_xlfn.IFNA(IF(VLOOKUP(A572,MD!$A:$N,3,0) = "-","MEDION","PEAQ"),"")</f>
        <v>PEAQ</v>
      </c>
    </row>
    <row r="573" spans="1:2" x14ac:dyDescent="0.2">
      <c r="A573" s="15">
        <v>60740</v>
      </c>
      <c r="B573" t="str">
        <f>_xlfn.IFNA(IF(VLOOKUP(A573,MD!$A:$N,3,0) = "-","MEDION","PEAQ"),"")</f>
        <v>PEAQ</v>
      </c>
    </row>
    <row r="574" spans="1:2" x14ac:dyDescent="0.2">
      <c r="A574" s="17">
        <v>20065185</v>
      </c>
      <c r="B574" t="str">
        <f>_xlfn.IFNA(IF(VLOOKUP(A574,MD!$A:$N,3,0) = "-","MEDION","PEAQ"),"")</f>
        <v/>
      </c>
    </row>
    <row r="575" spans="1:2" x14ac:dyDescent="0.2">
      <c r="A575" s="15">
        <v>60491</v>
      </c>
      <c r="B575" t="str">
        <f>_xlfn.IFNA(IF(VLOOKUP(A575,MD!$A:$N,3,0) = "-","MEDION","PEAQ"),"")</f>
        <v>PEAQ</v>
      </c>
    </row>
    <row r="576" spans="1:2" x14ac:dyDescent="0.2">
      <c r="A576" s="15">
        <v>60724</v>
      </c>
      <c r="B576" t="str">
        <f>_xlfn.IFNA(IF(VLOOKUP(A576,MD!$A:$N,3,0) = "-","MEDION","PEAQ"),"")</f>
        <v>PEAQ</v>
      </c>
    </row>
    <row r="577" spans="1:2" x14ac:dyDescent="0.2">
      <c r="A577" s="15">
        <v>60622</v>
      </c>
      <c r="B577" t="str">
        <f>_xlfn.IFNA(IF(VLOOKUP(A577,MD!$A:$N,3,0) = "-","MEDION","PEAQ"),"")</f>
        <v>PEAQ</v>
      </c>
    </row>
    <row r="578" spans="1:2" x14ac:dyDescent="0.2">
      <c r="A578" s="15">
        <v>60723</v>
      </c>
      <c r="B578" t="str">
        <f>_xlfn.IFNA(IF(VLOOKUP(A578,MD!$A:$N,3,0) = "-","MEDION","PEAQ"),"")</f>
        <v>PEAQ</v>
      </c>
    </row>
    <row r="579" spans="1:2" x14ac:dyDescent="0.2">
      <c r="A579" s="15">
        <v>60712</v>
      </c>
      <c r="B579" t="str">
        <f>_xlfn.IFNA(IF(VLOOKUP(A579,MD!$A:$N,3,0) = "-","MEDION","PEAQ"),"")</f>
        <v>PEAQ</v>
      </c>
    </row>
    <row r="580" spans="1:2" x14ac:dyDescent="0.2">
      <c r="A580" s="15">
        <v>61250</v>
      </c>
      <c r="B580" t="str">
        <f>_xlfn.IFNA(IF(VLOOKUP(A580,MD!$A:$N,3,0) = "-","MEDION","PEAQ"),"")</f>
        <v>PEAQ</v>
      </c>
    </row>
    <row r="581" spans="1:2" x14ac:dyDescent="0.2">
      <c r="A581" s="15">
        <v>61450</v>
      </c>
      <c r="B581" t="str">
        <f>_xlfn.IFNA(IF(VLOOKUP(A581,MD!$A:$N,3,0) = "-","MEDION","PEAQ"),"")</f>
        <v>PEAQ</v>
      </c>
    </row>
    <row r="582" spans="1:2" x14ac:dyDescent="0.2">
      <c r="A582" s="15">
        <v>60713</v>
      </c>
      <c r="B582" t="str">
        <f>_xlfn.IFNA(IF(VLOOKUP(A582,MD!$A:$N,3,0) = "-","MEDION","PEAQ"),"")</f>
        <v>PEAQ</v>
      </c>
    </row>
    <row r="583" spans="1:2" x14ac:dyDescent="0.2">
      <c r="A583" s="15">
        <v>60798</v>
      </c>
      <c r="B583" t="str">
        <f>_xlfn.IFNA(IF(VLOOKUP(A583,MD!$A:$N,3,0) = "-","MEDION","PEAQ"),"")</f>
        <v>PEAQ</v>
      </c>
    </row>
    <row r="584" spans="1:2" x14ac:dyDescent="0.2">
      <c r="A584" s="15">
        <v>61050</v>
      </c>
      <c r="B584" t="str">
        <f>_xlfn.IFNA(IF(VLOOKUP(A584,MD!$A:$N,3,0) = "-","MEDION","PEAQ"),"")</f>
        <v>PEAQ</v>
      </c>
    </row>
    <row r="585" spans="1:2" x14ac:dyDescent="0.2">
      <c r="A585" s="15">
        <v>61900</v>
      </c>
      <c r="B585" t="str">
        <f>_xlfn.IFNA(IF(VLOOKUP(A585,MD!$A:$N,3,0) = "-","MEDION","PEAQ"),"")</f>
        <v>PEAQ</v>
      </c>
    </row>
    <row r="586" spans="1:2" x14ac:dyDescent="0.2">
      <c r="A586" s="17">
        <v>20065186</v>
      </c>
      <c r="B586" t="str">
        <f>_xlfn.IFNA(IF(VLOOKUP(A586,MD!$A:$N,3,0) = "-","MEDION","PEAQ"),"")</f>
        <v/>
      </c>
    </row>
    <row r="587" spans="1:2" x14ac:dyDescent="0.2">
      <c r="A587" s="15">
        <v>61400</v>
      </c>
      <c r="B587" t="str">
        <f>_xlfn.IFNA(IF(VLOOKUP(A587,MD!$A:$N,3,0) = "-","MEDION","PEAQ"),"")</f>
        <v>PEAQ</v>
      </c>
    </row>
    <row r="588" spans="1:2" x14ac:dyDescent="0.2">
      <c r="A588" s="15">
        <v>61800</v>
      </c>
      <c r="B588" t="str">
        <f>_xlfn.IFNA(IF(VLOOKUP(A588,MD!$A:$N,3,0) = "-","MEDION","PEAQ"),"")</f>
        <v>PEAQ</v>
      </c>
    </row>
    <row r="589" spans="1:2" x14ac:dyDescent="0.2">
      <c r="A589" s="15">
        <v>61350</v>
      </c>
      <c r="B589" t="str">
        <f>_xlfn.IFNA(IF(VLOOKUP(A589,MD!$A:$N,3,0) = "-","MEDION","PEAQ"),"")</f>
        <v>PEAQ</v>
      </c>
    </row>
    <row r="590" spans="1:2" x14ac:dyDescent="0.2">
      <c r="A590" s="17" t="s">
        <v>688</v>
      </c>
      <c r="B590" t="str">
        <f>_xlfn.IFNA(IF(VLOOKUP(A590,MD!$A:$N,3,0) = "-","MEDION","PEAQ"),"")</f>
        <v/>
      </c>
    </row>
    <row r="591" spans="1:2" x14ac:dyDescent="0.2">
      <c r="A591" s="15">
        <v>60318</v>
      </c>
      <c r="B591" t="str">
        <f>_xlfn.IFNA(IF(VLOOKUP(A591,MD!$A:$N,3,0) = "-","MEDION","PEAQ"),"")</f>
        <v>PEAQ</v>
      </c>
    </row>
    <row r="592" spans="1:2" x14ac:dyDescent="0.2">
      <c r="A592" s="15">
        <v>60314</v>
      </c>
      <c r="B592" t="str">
        <f>_xlfn.IFNA(IF(VLOOKUP(A592,MD!$A:$N,3,0) = "-","MEDION","PEAQ"),"")</f>
        <v>PEAQ</v>
      </c>
    </row>
    <row r="593" spans="1:2" x14ac:dyDescent="0.2">
      <c r="A593" s="15">
        <v>60323</v>
      </c>
      <c r="B593" t="str">
        <f>_xlfn.IFNA(IF(VLOOKUP(A593,MD!$A:$N,3,0) = "-","MEDION","PEAQ"),"")</f>
        <v>PEAQ</v>
      </c>
    </row>
    <row r="594" spans="1:2" x14ac:dyDescent="0.2">
      <c r="A594" s="17">
        <v>20061796</v>
      </c>
      <c r="B594" t="str">
        <f>_xlfn.IFNA(IF(VLOOKUP(A594,MD!$A:$N,3,0) = "-","MEDION","PEAQ"),"")</f>
        <v/>
      </c>
    </row>
    <row r="595" spans="1:2" x14ac:dyDescent="0.2">
      <c r="A595" s="15">
        <v>60011</v>
      </c>
      <c r="B595" t="str">
        <f>_xlfn.IFNA(IF(VLOOKUP(A595,MD!$A:$N,3,0) = "-","MEDION","PEAQ"),"")</f>
        <v>PEAQ</v>
      </c>
    </row>
    <row r="596" spans="1:2" x14ac:dyDescent="0.2">
      <c r="A596" s="17">
        <v>20063699</v>
      </c>
      <c r="B596" t="str">
        <f>_xlfn.IFNA(IF(VLOOKUP(A596,MD!$A:$N,3,0) = "-","MEDION","PEAQ"),"")</f>
        <v/>
      </c>
    </row>
    <row r="597" spans="1:2" x14ac:dyDescent="0.2">
      <c r="A597" s="15">
        <v>60017</v>
      </c>
      <c r="B597" t="str">
        <f>_xlfn.IFNA(IF(VLOOKUP(A597,MD!$A:$N,3,0) = "-","MEDION","PEAQ"),"")</f>
        <v>PEAQ</v>
      </c>
    </row>
    <row r="598" spans="1:2" x14ac:dyDescent="0.2">
      <c r="A598" s="17">
        <v>20062282</v>
      </c>
      <c r="B598" t="str">
        <f>_xlfn.IFNA(IF(VLOOKUP(A598,MD!$A:$N,3,0) = "-","MEDION","PEAQ"),"")</f>
        <v/>
      </c>
    </row>
    <row r="599" spans="1:2" x14ac:dyDescent="0.2">
      <c r="A599" s="15">
        <v>60018</v>
      </c>
      <c r="B599" t="str">
        <f>_xlfn.IFNA(IF(VLOOKUP(A599,MD!$A:$N,3,0) = "-","MEDION","PEAQ"),"")</f>
        <v>PEAQ</v>
      </c>
    </row>
    <row r="600" spans="1:2" x14ac:dyDescent="0.2">
      <c r="A600" s="15">
        <v>60023</v>
      </c>
      <c r="B600" t="str">
        <f>_xlfn.IFNA(IF(VLOOKUP(A600,MD!$A:$N,3,0) = "-","MEDION","PEAQ"),"")</f>
        <v>PEAQ</v>
      </c>
    </row>
    <row r="601" spans="1:2" x14ac:dyDescent="0.2">
      <c r="A601" s="17">
        <v>20063388</v>
      </c>
      <c r="B601" t="str">
        <f>_xlfn.IFNA(IF(VLOOKUP(A601,MD!$A:$N,3,0) = "-","MEDION","PEAQ"),"")</f>
        <v/>
      </c>
    </row>
    <row r="602" spans="1:2" x14ac:dyDescent="0.2">
      <c r="A602" s="15">
        <v>60019</v>
      </c>
      <c r="B602" t="str">
        <f>_xlfn.IFNA(IF(VLOOKUP(A602,MD!$A:$N,3,0) = "-","MEDION","PEAQ"),"")</f>
        <v>PEAQ</v>
      </c>
    </row>
    <row r="603" spans="1:2" x14ac:dyDescent="0.2">
      <c r="A603" s="15">
        <v>60420</v>
      </c>
      <c r="B603" t="str">
        <f>_xlfn.IFNA(IF(VLOOKUP(A603,MD!$A:$N,3,0) = "-","MEDION","PEAQ"),"")</f>
        <v>PEAQ</v>
      </c>
    </row>
    <row r="604" spans="1:2" x14ac:dyDescent="0.2">
      <c r="A604" s="17">
        <v>20062248</v>
      </c>
      <c r="B604" t="str">
        <f>_xlfn.IFNA(IF(VLOOKUP(A604,MD!$A:$N,3,0) = "-","MEDION","PEAQ"),"")</f>
        <v/>
      </c>
    </row>
    <row r="605" spans="1:2" x14ac:dyDescent="0.2">
      <c r="A605" s="15">
        <v>60021</v>
      </c>
      <c r="B605" t="str">
        <f>_xlfn.IFNA(IF(VLOOKUP(A605,MD!$A:$N,3,0) = "-","MEDION","PEAQ"),"")</f>
        <v>PEAQ</v>
      </c>
    </row>
    <row r="606" spans="1:2" x14ac:dyDescent="0.2">
      <c r="A606" s="15">
        <v>60022</v>
      </c>
      <c r="B606" t="str">
        <f>_xlfn.IFNA(IF(VLOOKUP(A606,MD!$A:$N,3,0) = "-","MEDION","PEAQ"),"")</f>
        <v>PEAQ</v>
      </c>
    </row>
    <row r="607" spans="1:2" x14ac:dyDescent="0.2">
      <c r="A607" s="15">
        <v>60154</v>
      </c>
      <c r="B607" t="str">
        <f>_xlfn.IFNA(IF(VLOOKUP(A607,MD!$A:$N,3,0) = "-","MEDION","PEAQ"),"")</f>
        <v>PEAQ</v>
      </c>
    </row>
    <row r="608" spans="1:2" x14ac:dyDescent="0.2">
      <c r="A608" s="17">
        <v>20062527</v>
      </c>
      <c r="B608" t="str">
        <f>_xlfn.IFNA(IF(VLOOKUP(A608,MD!$A:$N,3,0) = "-","MEDION","PEAQ"),"")</f>
        <v/>
      </c>
    </row>
    <row r="609" spans="1:2" x14ac:dyDescent="0.2">
      <c r="A609" s="15">
        <v>60085</v>
      </c>
      <c r="B609" t="str">
        <f>_xlfn.IFNA(IF(VLOOKUP(A609,MD!$A:$N,3,0) = "-","MEDION","PEAQ"),"")</f>
        <v>PEAQ</v>
      </c>
    </row>
    <row r="610" spans="1:2" x14ac:dyDescent="0.2">
      <c r="A610" s="17">
        <v>20062529</v>
      </c>
      <c r="B610" t="str">
        <f>_xlfn.IFNA(IF(VLOOKUP(A610,MD!$A:$N,3,0) = "-","MEDION","PEAQ"),"")</f>
        <v/>
      </c>
    </row>
    <row r="611" spans="1:2" x14ac:dyDescent="0.2">
      <c r="A611" s="15">
        <v>60097</v>
      </c>
      <c r="B611" t="str">
        <f>_xlfn.IFNA(IF(VLOOKUP(A611,MD!$A:$N,3,0) = "-","MEDION","PEAQ"),"")</f>
        <v>PEAQ</v>
      </c>
    </row>
    <row r="612" spans="1:2" x14ac:dyDescent="0.2">
      <c r="A612" s="17" t="s">
        <v>881</v>
      </c>
      <c r="B612" t="str">
        <f>_xlfn.IFNA(IF(VLOOKUP(A612,MD!$A:$N,3,0) = "-","MEDION","PEAQ"),"")</f>
        <v/>
      </c>
    </row>
    <row r="613" spans="1:2" x14ac:dyDescent="0.2">
      <c r="A613" s="15">
        <v>60128</v>
      </c>
      <c r="B613" t="str">
        <f>_xlfn.IFNA(IF(VLOOKUP(A613,MD!$A:$N,3,0) = "-","MEDION","PEAQ"),"")</f>
        <v>PEAQ</v>
      </c>
    </row>
    <row r="614" spans="1:2" x14ac:dyDescent="0.2">
      <c r="A614" s="15">
        <v>60369</v>
      </c>
      <c r="B614" t="str">
        <f>_xlfn.IFNA(IF(VLOOKUP(A614,MD!$A:$N,3,0) = "-","MEDION","PEAQ"),"")</f>
        <v>PEAQ</v>
      </c>
    </row>
    <row r="615" spans="1:2" x14ac:dyDescent="0.2">
      <c r="A615" s="15">
        <v>60148</v>
      </c>
      <c r="B615" t="str">
        <f>_xlfn.IFNA(IF(VLOOKUP(A615,MD!$A:$N,3,0) = "-","MEDION","PEAQ"),"")</f>
        <v>PEAQ</v>
      </c>
    </row>
    <row r="616" spans="1:2" x14ac:dyDescent="0.2">
      <c r="A616" s="15">
        <v>99904</v>
      </c>
      <c r="B616" t="str">
        <f>_xlfn.IFNA(IF(VLOOKUP(A616,MD!$A:$N,3,0) = "-","MEDION","PEAQ"),"")</f>
        <v>PEAQ</v>
      </c>
    </row>
    <row r="617" spans="1:2" x14ac:dyDescent="0.2">
      <c r="A617" s="17">
        <v>20062778</v>
      </c>
      <c r="B617" t="str">
        <f>_xlfn.IFNA(IF(VLOOKUP(A617,MD!$A:$N,3,0) = "-","MEDION","PEAQ"),"")</f>
        <v/>
      </c>
    </row>
    <row r="618" spans="1:2" x14ac:dyDescent="0.2">
      <c r="A618" s="15">
        <v>60149</v>
      </c>
      <c r="B618" t="str">
        <f>_xlfn.IFNA(IF(VLOOKUP(A618,MD!$A:$N,3,0) = "-","MEDION","PEAQ"),"")</f>
        <v>PEAQ</v>
      </c>
    </row>
    <row r="619" spans="1:2" x14ac:dyDescent="0.2">
      <c r="A619" s="15">
        <v>99439</v>
      </c>
      <c r="B619" t="str">
        <f>_xlfn.IFNA(IF(VLOOKUP(A619,MD!$A:$N,3,0) = "-","MEDION","PEAQ"),"")</f>
        <v>PEAQ</v>
      </c>
    </row>
    <row r="620" spans="1:2" x14ac:dyDescent="0.2">
      <c r="A620" s="15">
        <v>99441</v>
      </c>
      <c r="B620" t="str">
        <f>_xlfn.IFNA(IF(VLOOKUP(A620,MD!$A:$N,3,0) = "-","MEDION","PEAQ"),"")</f>
        <v>PEAQ</v>
      </c>
    </row>
    <row r="621" spans="1:2" x14ac:dyDescent="0.2">
      <c r="A621" s="15">
        <v>99819</v>
      </c>
      <c r="B621" t="str">
        <f>_xlfn.IFNA(IF(VLOOKUP(A621,MD!$A:$N,3,0) = "-","MEDION","PEAQ"),"")</f>
        <v>PEAQ</v>
      </c>
    </row>
    <row r="622" spans="1:2" x14ac:dyDescent="0.2">
      <c r="A622" s="17">
        <v>20062666</v>
      </c>
      <c r="B622" t="str">
        <f>_xlfn.IFNA(IF(VLOOKUP(A622,MD!$A:$N,3,0) = "-","MEDION","PEAQ"),"")</f>
        <v/>
      </c>
    </row>
    <row r="623" spans="1:2" x14ac:dyDescent="0.2">
      <c r="A623" s="15">
        <v>60152</v>
      </c>
      <c r="B623" t="str">
        <f>_xlfn.IFNA(IF(VLOOKUP(A623,MD!$A:$N,3,0) = "-","MEDION","PEAQ"),"")</f>
        <v>PEAQ</v>
      </c>
    </row>
    <row r="624" spans="1:2" x14ac:dyDescent="0.2">
      <c r="A624" s="17">
        <v>20062400</v>
      </c>
      <c r="B624" t="str">
        <f>_xlfn.IFNA(IF(VLOOKUP(A624,MD!$A:$N,3,0) = "-","MEDION","PEAQ"),"")</f>
        <v/>
      </c>
    </row>
    <row r="625" spans="1:2" x14ac:dyDescent="0.2">
      <c r="A625" s="15">
        <v>60163</v>
      </c>
      <c r="B625" t="str">
        <f>_xlfn.IFNA(IF(VLOOKUP(A625,MD!$A:$N,3,0) = "-","MEDION","PEAQ"),"")</f>
        <v>PEAQ</v>
      </c>
    </row>
    <row r="626" spans="1:2" x14ac:dyDescent="0.2">
      <c r="A626" s="17">
        <v>20062664</v>
      </c>
      <c r="B626" t="str">
        <f>_xlfn.IFNA(IF(VLOOKUP(A626,MD!$A:$N,3,0) = "-","MEDION","PEAQ"),"")</f>
        <v/>
      </c>
    </row>
    <row r="627" spans="1:2" x14ac:dyDescent="0.2">
      <c r="A627" s="15">
        <v>60223</v>
      </c>
      <c r="B627" t="str">
        <f>_xlfn.IFNA(IF(VLOOKUP(A627,MD!$A:$N,3,0) = "-","MEDION","PEAQ"),"")</f>
        <v>PEAQ</v>
      </c>
    </row>
    <row r="628" spans="1:2" x14ac:dyDescent="0.2">
      <c r="A628" s="17">
        <v>20058938</v>
      </c>
      <c r="B628" t="str">
        <f>_xlfn.IFNA(IF(VLOOKUP(A628,MD!$A:$N,3,0) = "-","MEDION","PEAQ"),"")</f>
        <v/>
      </c>
    </row>
    <row r="629" spans="1:2" x14ac:dyDescent="0.2">
      <c r="A629" s="15">
        <v>99091</v>
      </c>
      <c r="B629" t="str">
        <f>_xlfn.IFNA(IF(VLOOKUP(A629,MD!$A:$N,3,0) = "-","MEDION","PEAQ"),"")</f>
        <v>PEAQ</v>
      </c>
    </row>
    <row r="630" spans="1:2" x14ac:dyDescent="0.2">
      <c r="A630" s="17">
        <v>20059371</v>
      </c>
      <c r="B630" t="str">
        <f>_xlfn.IFNA(IF(VLOOKUP(A630,MD!$A:$N,3,0) = "-","MEDION","PEAQ"),"")</f>
        <v/>
      </c>
    </row>
    <row r="631" spans="1:2" x14ac:dyDescent="0.2">
      <c r="A631" s="15">
        <v>99092</v>
      </c>
      <c r="B631" t="str">
        <f>_xlfn.IFNA(IF(VLOOKUP(A631,MD!$A:$N,3,0) = "-","MEDION","PEAQ"),"")</f>
        <v>PEAQ</v>
      </c>
    </row>
    <row r="632" spans="1:2" x14ac:dyDescent="0.2">
      <c r="A632" s="17">
        <v>20058996</v>
      </c>
      <c r="B632" t="str">
        <f>_xlfn.IFNA(IF(VLOOKUP(A632,MD!$A:$N,3,0) = "-","MEDION","PEAQ"),"")</f>
        <v/>
      </c>
    </row>
    <row r="633" spans="1:2" x14ac:dyDescent="0.2">
      <c r="A633" s="15">
        <v>99093</v>
      </c>
      <c r="B633" t="str">
        <f>_xlfn.IFNA(IF(VLOOKUP(A633,MD!$A:$N,3,0) = "-","MEDION","PEAQ"),"")</f>
        <v>PEAQ</v>
      </c>
    </row>
    <row r="634" spans="1:2" x14ac:dyDescent="0.2">
      <c r="A634" s="15">
        <v>99191</v>
      </c>
      <c r="B634" t="str">
        <f>_xlfn.IFNA(IF(VLOOKUP(A634,MD!$A:$N,3,0) = "-","MEDION","PEAQ"),"")</f>
        <v>PEAQ</v>
      </c>
    </row>
    <row r="635" spans="1:2" x14ac:dyDescent="0.2">
      <c r="A635" s="17">
        <v>20059000</v>
      </c>
      <c r="B635" t="str">
        <f>_xlfn.IFNA(IF(VLOOKUP(A635,MD!$A:$N,3,0) = "-","MEDION","PEAQ"),"")</f>
        <v/>
      </c>
    </row>
    <row r="636" spans="1:2" x14ac:dyDescent="0.2">
      <c r="A636" s="15">
        <v>99094</v>
      </c>
      <c r="B636" t="str">
        <f>_xlfn.IFNA(IF(VLOOKUP(A636,MD!$A:$N,3,0) = "-","MEDION","PEAQ"),"")</f>
        <v>PEAQ</v>
      </c>
    </row>
    <row r="637" spans="1:2" x14ac:dyDescent="0.2">
      <c r="A637" s="17">
        <v>20058982</v>
      </c>
      <c r="B637" t="str">
        <f>_xlfn.IFNA(IF(VLOOKUP(A637,MD!$A:$N,3,0) = "-","MEDION","PEAQ"),"")</f>
        <v/>
      </c>
    </row>
    <row r="638" spans="1:2" x14ac:dyDescent="0.2">
      <c r="A638" s="15">
        <v>99096</v>
      </c>
      <c r="B638" t="str">
        <f>_xlfn.IFNA(IF(VLOOKUP(A638,MD!$A:$N,3,0) = "-","MEDION","PEAQ"),"")</f>
        <v>PEAQ</v>
      </c>
    </row>
    <row r="639" spans="1:2" x14ac:dyDescent="0.2">
      <c r="A639" s="17" t="s">
        <v>78</v>
      </c>
      <c r="B639" t="str">
        <f>_xlfn.IFNA(IF(VLOOKUP(A639,MD!$A:$N,3,0) = "-","MEDION","PEAQ"),"")</f>
        <v/>
      </c>
    </row>
    <row r="640" spans="1:2" x14ac:dyDescent="0.2">
      <c r="A640" s="15">
        <v>99097</v>
      </c>
      <c r="B640" t="str">
        <f>_xlfn.IFNA(IF(VLOOKUP(A640,MD!$A:$N,3,0) = "-","MEDION","PEAQ"),"")</f>
        <v>PEAQ</v>
      </c>
    </row>
    <row r="641" spans="1:2" x14ac:dyDescent="0.2">
      <c r="A641" s="17">
        <v>20059025</v>
      </c>
      <c r="B641" t="str">
        <f>_xlfn.IFNA(IF(VLOOKUP(A641,MD!$A:$N,3,0) = "-","MEDION","PEAQ"),"")</f>
        <v/>
      </c>
    </row>
    <row r="642" spans="1:2" x14ac:dyDescent="0.2">
      <c r="A642" s="15">
        <v>99098</v>
      </c>
      <c r="B642" t="str">
        <f>_xlfn.IFNA(IF(VLOOKUP(A642,MD!$A:$N,3,0) = "-","MEDION","PEAQ"),"")</f>
        <v>PEAQ</v>
      </c>
    </row>
    <row r="643" spans="1:2" x14ac:dyDescent="0.2">
      <c r="A643" s="17">
        <v>20059372</v>
      </c>
      <c r="B643" t="str">
        <f>_xlfn.IFNA(IF(VLOOKUP(A643,MD!$A:$N,3,0) = "-","MEDION","PEAQ"),"")</f>
        <v/>
      </c>
    </row>
    <row r="644" spans="1:2" x14ac:dyDescent="0.2">
      <c r="A644" s="15">
        <v>99186</v>
      </c>
      <c r="B644" t="str">
        <f>_xlfn.IFNA(IF(VLOOKUP(A644,MD!$A:$N,3,0) = "-","MEDION","PEAQ"),"")</f>
        <v>PEAQ</v>
      </c>
    </row>
    <row r="645" spans="1:2" x14ac:dyDescent="0.2">
      <c r="A645" s="15">
        <v>99187</v>
      </c>
      <c r="B645" t="str">
        <f>_xlfn.IFNA(IF(VLOOKUP(A645,MD!$A:$N,3,0) = "-","MEDION","PEAQ"),"")</f>
        <v>PEAQ</v>
      </c>
    </row>
    <row r="646" spans="1:2" x14ac:dyDescent="0.2">
      <c r="A646" s="17" t="s">
        <v>82</v>
      </c>
      <c r="B646" t="str">
        <f>_xlfn.IFNA(IF(VLOOKUP(A646,MD!$A:$N,3,0) = "-","MEDION","PEAQ"),"")</f>
        <v/>
      </c>
    </row>
    <row r="647" spans="1:2" x14ac:dyDescent="0.2">
      <c r="A647" s="15">
        <v>99188</v>
      </c>
      <c r="B647" t="str">
        <f>_xlfn.IFNA(IF(VLOOKUP(A647,MD!$A:$N,3,0) = "-","MEDION","PEAQ"),"")</f>
        <v>PEAQ</v>
      </c>
    </row>
    <row r="648" spans="1:2" x14ac:dyDescent="0.2">
      <c r="A648" s="17">
        <v>20059327</v>
      </c>
      <c r="B648" t="str">
        <f>_xlfn.IFNA(IF(VLOOKUP(A648,MD!$A:$N,3,0) = "-","MEDION","PEAQ"),"")</f>
        <v/>
      </c>
    </row>
    <row r="649" spans="1:2" x14ac:dyDescent="0.2">
      <c r="A649" s="15">
        <v>99193</v>
      </c>
      <c r="B649" t="str">
        <f>_xlfn.IFNA(IF(VLOOKUP(A649,MD!$A:$N,3,0) = "-","MEDION","PEAQ"),"")</f>
        <v>PEAQ</v>
      </c>
    </row>
    <row r="650" spans="1:2" x14ac:dyDescent="0.2">
      <c r="A650" s="17">
        <v>20059328</v>
      </c>
      <c r="B650" t="str">
        <f>_xlfn.IFNA(IF(VLOOKUP(A650,MD!$A:$N,3,0) = "-","MEDION","PEAQ"),"")</f>
        <v/>
      </c>
    </row>
    <row r="651" spans="1:2" x14ac:dyDescent="0.2">
      <c r="A651" s="15">
        <v>99194</v>
      </c>
      <c r="B651" t="str">
        <f>_xlfn.IFNA(IF(VLOOKUP(A651,MD!$A:$N,3,0) = "-","MEDION","PEAQ"),"")</f>
        <v>PEAQ</v>
      </c>
    </row>
    <row r="652" spans="1:2" x14ac:dyDescent="0.2">
      <c r="A652" s="17">
        <v>20059359</v>
      </c>
      <c r="B652" t="str">
        <f>_xlfn.IFNA(IF(VLOOKUP(A652,MD!$A:$N,3,0) = "-","MEDION","PEAQ"),"")</f>
        <v/>
      </c>
    </row>
    <row r="653" spans="1:2" x14ac:dyDescent="0.2">
      <c r="A653" s="15">
        <v>99197</v>
      </c>
      <c r="B653" t="str">
        <f>_xlfn.IFNA(IF(VLOOKUP(A653,MD!$A:$N,3,0) = "-","MEDION","PEAQ"),"")</f>
        <v>PEAQ</v>
      </c>
    </row>
    <row r="654" spans="1:2" x14ac:dyDescent="0.2">
      <c r="A654" s="17">
        <v>20060255</v>
      </c>
      <c r="B654" t="str">
        <f>_xlfn.IFNA(IF(VLOOKUP(A654,MD!$A:$N,3,0) = "-","MEDION","PEAQ"),"")</f>
        <v/>
      </c>
    </row>
    <row r="655" spans="1:2" x14ac:dyDescent="0.2">
      <c r="A655" s="15">
        <v>99198</v>
      </c>
      <c r="B655" t="str">
        <f>_xlfn.IFNA(IF(VLOOKUP(A655,MD!$A:$N,3,0) = "-","MEDION","PEAQ"),"")</f>
        <v>PEAQ</v>
      </c>
    </row>
    <row r="656" spans="1:2" x14ac:dyDescent="0.2">
      <c r="A656" s="15">
        <v>99448</v>
      </c>
      <c r="B656" t="str">
        <f>_xlfn.IFNA(IF(VLOOKUP(A656,MD!$A:$N,3,0) = "-","MEDION","PEAQ"),"")</f>
        <v>PEAQ</v>
      </c>
    </row>
    <row r="657" spans="1:2" x14ac:dyDescent="0.2">
      <c r="A657" s="15">
        <v>99468</v>
      </c>
      <c r="B657" t="str">
        <f>_xlfn.IFNA(IF(VLOOKUP(A657,MD!$A:$N,3,0) = "-","MEDION","PEAQ"),"")</f>
        <v>PEAQ</v>
      </c>
    </row>
    <row r="658" spans="1:2" x14ac:dyDescent="0.2">
      <c r="A658" s="17">
        <v>20059869</v>
      </c>
      <c r="B658" t="str">
        <f>_xlfn.IFNA(IF(VLOOKUP(A658,MD!$A:$N,3,0) = "-","MEDION","PEAQ"),"")</f>
        <v/>
      </c>
    </row>
    <row r="659" spans="1:2" x14ac:dyDescent="0.2">
      <c r="A659" s="15">
        <v>99291</v>
      </c>
      <c r="B659" t="str">
        <f>_xlfn.IFNA(IF(VLOOKUP(A659,MD!$A:$N,3,0) = "-","MEDION","PEAQ"),"")</f>
        <v>PEAQ</v>
      </c>
    </row>
    <row r="660" spans="1:2" x14ac:dyDescent="0.2">
      <c r="A660" s="17">
        <v>20059872</v>
      </c>
      <c r="B660" t="str">
        <f>_xlfn.IFNA(IF(VLOOKUP(A660,MD!$A:$N,3,0) = "-","MEDION","PEAQ"),"")</f>
        <v/>
      </c>
    </row>
    <row r="661" spans="1:2" x14ac:dyDescent="0.2">
      <c r="A661" s="15">
        <v>99298</v>
      </c>
      <c r="B661" t="str">
        <f>_xlfn.IFNA(IF(VLOOKUP(A661,MD!$A:$N,3,0) = "-","MEDION","PEAQ"),"")</f>
        <v>PEAQ</v>
      </c>
    </row>
    <row r="662" spans="1:2" x14ac:dyDescent="0.2">
      <c r="A662" s="17">
        <v>20060121</v>
      </c>
      <c r="B662" t="str">
        <f>_xlfn.IFNA(IF(VLOOKUP(A662,MD!$A:$N,3,0) = "-","MEDION","PEAQ"),"")</f>
        <v/>
      </c>
    </row>
    <row r="663" spans="1:2" x14ac:dyDescent="0.2">
      <c r="A663" s="15">
        <v>99306</v>
      </c>
      <c r="B663" t="str">
        <f>_xlfn.IFNA(IF(VLOOKUP(A663,MD!$A:$N,3,0) = "-","MEDION","PEAQ"),"")</f>
        <v>PEAQ</v>
      </c>
    </row>
    <row r="664" spans="1:2" x14ac:dyDescent="0.2">
      <c r="A664" s="17">
        <v>20059873</v>
      </c>
      <c r="B664" t="str">
        <f>_xlfn.IFNA(IF(VLOOKUP(A664,MD!$A:$N,3,0) = "-","MEDION","PEAQ"),"")</f>
        <v/>
      </c>
    </row>
    <row r="665" spans="1:2" x14ac:dyDescent="0.2">
      <c r="A665" s="15">
        <v>99307</v>
      </c>
      <c r="B665" t="str">
        <f>_xlfn.IFNA(IF(VLOOKUP(A665,MD!$A:$N,3,0) = "-","MEDION","PEAQ"),"")</f>
        <v>PEAQ</v>
      </c>
    </row>
    <row r="666" spans="1:2" x14ac:dyDescent="0.2">
      <c r="A666" s="15">
        <v>99309</v>
      </c>
      <c r="B666" t="str">
        <f>_xlfn.IFNA(IF(VLOOKUP(A666,MD!$A:$N,3,0) = "-","MEDION","PEAQ"),"")</f>
        <v>PEAQ</v>
      </c>
    </row>
    <row r="667" spans="1:2" x14ac:dyDescent="0.2">
      <c r="A667" s="17">
        <v>20060526</v>
      </c>
      <c r="B667" t="str">
        <f>_xlfn.IFNA(IF(VLOOKUP(A667,MD!$A:$N,3,0) = "-","MEDION","PEAQ"),"")</f>
        <v/>
      </c>
    </row>
    <row r="668" spans="1:2" x14ac:dyDescent="0.2">
      <c r="A668" s="15">
        <v>99336</v>
      </c>
      <c r="B668" t="str">
        <f>_xlfn.IFNA(IF(VLOOKUP(A668,MD!$A:$N,3,0) = "-","MEDION","PEAQ"),"")</f>
        <v>PEAQ</v>
      </c>
    </row>
    <row r="669" spans="1:2" x14ac:dyDescent="0.2">
      <c r="A669" s="15">
        <v>99337</v>
      </c>
      <c r="B669" t="str">
        <f>_xlfn.IFNA(IF(VLOOKUP(A669,MD!$A:$N,3,0) = "-","MEDION","PEAQ"),"")</f>
        <v>PEAQ</v>
      </c>
    </row>
    <row r="670" spans="1:2" x14ac:dyDescent="0.2">
      <c r="A670" s="15">
        <v>99442</v>
      </c>
      <c r="B670" t="str">
        <f>_xlfn.IFNA(IF(VLOOKUP(A670,MD!$A:$N,3,0) = "-","MEDION","PEAQ"),"")</f>
        <v>PEAQ</v>
      </c>
    </row>
    <row r="671" spans="1:2" x14ac:dyDescent="0.2">
      <c r="A671" s="15">
        <v>99446</v>
      </c>
      <c r="B671" t="str">
        <f>_xlfn.IFNA(IF(VLOOKUP(A671,MD!$A:$N,3,0) = "-","MEDION","PEAQ"),"")</f>
        <v>PEAQ</v>
      </c>
    </row>
    <row r="672" spans="1:2" x14ac:dyDescent="0.2">
      <c r="A672" s="15">
        <v>99818</v>
      </c>
      <c r="B672" t="str">
        <f>_xlfn.IFNA(IF(VLOOKUP(A672,MD!$A:$N,3,0) = "-","MEDION","PEAQ"),"")</f>
        <v>PEAQ</v>
      </c>
    </row>
    <row r="673" spans="1:2" x14ac:dyDescent="0.2">
      <c r="A673" s="15">
        <v>99909</v>
      </c>
      <c r="B673" t="str">
        <f>_xlfn.IFNA(IF(VLOOKUP(A673,MD!$A:$N,3,0) = "-","MEDION","PEAQ"),"")</f>
        <v>PEAQ</v>
      </c>
    </row>
    <row r="674" spans="1:2" x14ac:dyDescent="0.2">
      <c r="A674" s="17">
        <v>20060527</v>
      </c>
      <c r="B674" t="str">
        <f>_xlfn.IFNA(IF(VLOOKUP(A674,MD!$A:$N,3,0) = "-","MEDION","PEAQ"),"")</f>
        <v/>
      </c>
    </row>
    <row r="675" spans="1:2" x14ac:dyDescent="0.2">
      <c r="A675" s="15">
        <v>99338</v>
      </c>
      <c r="B675" t="str">
        <f>_xlfn.IFNA(IF(VLOOKUP(A675,MD!$A:$N,3,0) = "-","MEDION","PEAQ"),"")</f>
        <v>PEAQ</v>
      </c>
    </row>
    <row r="676" spans="1:2" x14ac:dyDescent="0.2">
      <c r="A676" s="15">
        <v>99447</v>
      </c>
      <c r="B676" t="str">
        <f>_xlfn.IFNA(IF(VLOOKUP(A676,MD!$A:$N,3,0) = "-","MEDION","PEAQ"),"")</f>
        <v>PEAQ</v>
      </c>
    </row>
    <row r="677" spans="1:2" x14ac:dyDescent="0.2">
      <c r="A677" s="17">
        <v>20061144</v>
      </c>
      <c r="B677" t="str">
        <f>_xlfn.IFNA(IF(VLOOKUP(A677,MD!$A:$N,3,0) = "-","MEDION","PEAQ"),"")</f>
        <v/>
      </c>
    </row>
    <row r="678" spans="1:2" x14ac:dyDescent="0.2">
      <c r="A678" s="15">
        <v>99339</v>
      </c>
      <c r="B678" t="str">
        <f>_xlfn.IFNA(IF(VLOOKUP(A678,MD!$A:$N,3,0) = "-","MEDION","PEAQ"),"")</f>
        <v>PEAQ</v>
      </c>
    </row>
    <row r="679" spans="1:2" x14ac:dyDescent="0.2">
      <c r="A679" s="15">
        <v>99639</v>
      </c>
      <c r="B679" t="str">
        <f>_xlfn.IFNA(IF(VLOOKUP(A679,MD!$A:$N,3,0) = "-","MEDION","PEAQ"),"")</f>
        <v>PEAQ</v>
      </c>
    </row>
    <row r="680" spans="1:2" x14ac:dyDescent="0.2">
      <c r="A680" s="17">
        <v>20060170</v>
      </c>
      <c r="B680" t="str">
        <f>_xlfn.IFNA(IF(VLOOKUP(A680,MD!$A:$N,3,0) = "-","MEDION","PEAQ"),"")</f>
        <v/>
      </c>
    </row>
    <row r="681" spans="1:2" x14ac:dyDescent="0.2">
      <c r="A681" s="15">
        <v>99341</v>
      </c>
      <c r="B681" t="str">
        <f>_xlfn.IFNA(IF(VLOOKUP(A681,MD!$A:$N,3,0) = "-","MEDION","PEAQ"),"")</f>
        <v>PEAQ</v>
      </c>
    </row>
    <row r="682" spans="1:2" x14ac:dyDescent="0.2">
      <c r="A682" s="17">
        <v>20060470</v>
      </c>
      <c r="B682" t="str">
        <f>_xlfn.IFNA(IF(VLOOKUP(A682,MD!$A:$N,3,0) = "-","MEDION","PEAQ"),"")</f>
        <v/>
      </c>
    </row>
    <row r="683" spans="1:2" x14ac:dyDescent="0.2">
      <c r="A683" s="15">
        <v>99342</v>
      </c>
      <c r="B683" t="str">
        <f>_xlfn.IFNA(IF(VLOOKUP(A683,MD!$A:$N,3,0) = "-","MEDION","PEAQ"),"")</f>
        <v>PEAQ</v>
      </c>
    </row>
    <row r="684" spans="1:2" x14ac:dyDescent="0.2">
      <c r="A684" s="15">
        <v>99469</v>
      </c>
      <c r="B684" t="str">
        <f>_xlfn.IFNA(IF(VLOOKUP(A684,MD!$A:$N,3,0) = "-","MEDION","PEAQ"),"")</f>
        <v>PEAQ</v>
      </c>
    </row>
    <row r="685" spans="1:2" x14ac:dyDescent="0.2">
      <c r="A685" s="17">
        <v>20060826</v>
      </c>
      <c r="B685" t="str">
        <f>_xlfn.IFNA(IF(VLOOKUP(A685,MD!$A:$N,3,0) = "-","MEDION","PEAQ"),"")</f>
        <v/>
      </c>
    </row>
    <row r="686" spans="1:2" x14ac:dyDescent="0.2">
      <c r="A686" s="15">
        <v>99343</v>
      </c>
      <c r="B686" t="str">
        <f>_xlfn.IFNA(IF(VLOOKUP(A686,MD!$A:$N,3,0) = "-","MEDION","PEAQ"),"")</f>
        <v>PEAQ</v>
      </c>
    </row>
    <row r="687" spans="1:2" x14ac:dyDescent="0.2">
      <c r="A687" s="15">
        <v>99344</v>
      </c>
      <c r="B687" t="str">
        <f>_xlfn.IFNA(IF(VLOOKUP(A687,MD!$A:$N,3,0) = "-","MEDION","PEAQ"),"")</f>
        <v>PEAQ</v>
      </c>
    </row>
    <row r="688" spans="1:2" x14ac:dyDescent="0.2">
      <c r="A688" s="17">
        <v>20060473</v>
      </c>
      <c r="B688" t="str">
        <f>_xlfn.IFNA(IF(VLOOKUP(A688,MD!$A:$N,3,0) = "-","MEDION","PEAQ"),"")</f>
        <v/>
      </c>
    </row>
    <row r="689" spans="1:2" x14ac:dyDescent="0.2">
      <c r="A689" s="15">
        <v>99464</v>
      </c>
      <c r="B689" t="str">
        <f>_xlfn.IFNA(IF(VLOOKUP(A689,MD!$A:$N,3,0) = "-","MEDION","PEAQ"),"")</f>
        <v>PEAQ</v>
      </c>
    </row>
    <row r="690" spans="1:2" x14ac:dyDescent="0.2">
      <c r="A690" s="15">
        <v>99467</v>
      </c>
      <c r="B690" t="str">
        <f>_xlfn.IFNA(IF(VLOOKUP(A690,MD!$A:$N,3,0) = "-","MEDION","PEAQ"),"")</f>
        <v>PEAQ</v>
      </c>
    </row>
    <row r="691" spans="1:2" x14ac:dyDescent="0.2">
      <c r="A691" s="17">
        <v>20060855</v>
      </c>
      <c r="B691" t="str">
        <f>_xlfn.IFNA(IF(VLOOKUP(A691,MD!$A:$N,3,0) = "-","MEDION","PEAQ"),"")</f>
        <v/>
      </c>
    </row>
    <row r="692" spans="1:2" x14ac:dyDescent="0.2">
      <c r="A692" s="15">
        <v>99523</v>
      </c>
      <c r="B692" t="str">
        <f>_xlfn.IFNA(IF(VLOOKUP(A692,MD!$A:$N,3,0) = "-","MEDION","PEAQ"),"")</f>
        <v>PEAQ</v>
      </c>
    </row>
    <row r="693" spans="1:2" x14ac:dyDescent="0.2">
      <c r="A693" s="17">
        <v>20061408</v>
      </c>
      <c r="B693" t="str">
        <f>_xlfn.IFNA(IF(VLOOKUP(A693,MD!$A:$N,3,0) = "-","MEDION","PEAQ"),"")</f>
        <v/>
      </c>
    </row>
    <row r="694" spans="1:2" x14ac:dyDescent="0.2">
      <c r="A694" s="15">
        <v>99671</v>
      </c>
      <c r="B694" t="str">
        <f>_xlfn.IFNA(IF(VLOOKUP(A694,MD!$A:$N,3,0) = "-","MEDION","PEAQ"),"")</f>
        <v>PEAQ</v>
      </c>
    </row>
    <row r="695" spans="1:2" x14ac:dyDescent="0.2">
      <c r="A695" s="15">
        <v>99684</v>
      </c>
      <c r="B695" t="str">
        <f>_xlfn.IFNA(IF(VLOOKUP(A695,MD!$A:$N,3,0) = "-","MEDION","PEAQ"),"")</f>
        <v>PEAQ</v>
      </c>
    </row>
    <row r="696" spans="1:2" x14ac:dyDescent="0.2">
      <c r="A696" s="15">
        <v>99688</v>
      </c>
      <c r="B696" t="str">
        <f>_xlfn.IFNA(IF(VLOOKUP(A696,MD!$A:$N,3,0) = "-","MEDION","PEAQ"),"")</f>
        <v>PEAQ</v>
      </c>
    </row>
    <row r="697" spans="1:2" x14ac:dyDescent="0.2">
      <c r="A697" s="15">
        <v>99799</v>
      </c>
      <c r="B697" t="str">
        <f>_xlfn.IFNA(IF(VLOOKUP(A697,MD!$A:$N,3,0) = "-","MEDION","PEAQ"),"")</f>
        <v>PEAQ</v>
      </c>
    </row>
    <row r="698" spans="1:2" x14ac:dyDescent="0.2">
      <c r="A698" s="15">
        <v>99809</v>
      </c>
      <c r="B698" t="str">
        <f>_xlfn.IFNA(IF(VLOOKUP(A698,MD!$A:$N,3,0) = "-","MEDION","PEAQ"),"")</f>
        <v>PEAQ</v>
      </c>
    </row>
    <row r="699" spans="1:2" x14ac:dyDescent="0.2">
      <c r="A699" s="17">
        <v>20061256</v>
      </c>
      <c r="B699" t="str">
        <f>_xlfn.IFNA(IF(VLOOKUP(A699,MD!$A:$N,3,0) = "-","MEDION","PEAQ"),"")</f>
        <v/>
      </c>
    </row>
    <row r="700" spans="1:2" x14ac:dyDescent="0.2">
      <c r="A700" s="15">
        <v>99672</v>
      </c>
      <c r="B700" t="str">
        <f>_xlfn.IFNA(IF(VLOOKUP(A700,MD!$A:$N,3,0) = "-","MEDION","PEAQ"),"")</f>
        <v>PEAQ</v>
      </c>
    </row>
    <row r="701" spans="1:2" x14ac:dyDescent="0.2">
      <c r="A701" s="17">
        <v>20061252</v>
      </c>
      <c r="B701" t="str">
        <f>_xlfn.IFNA(IF(VLOOKUP(A701,MD!$A:$N,3,0) = "-","MEDION","PEAQ"),"")</f>
        <v/>
      </c>
    </row>
    <row r="702" spans="1:2" x14ac:dyDescent="0.2">
      <c r="A702" s="15">
        <v>99673</v>
      </c>
      <c r="B702" t="str">
        <f>_xlfn.IFNA(IF(VLOOKUP(A702,MD!$A:$N,3,0) = "-","MEDION","PEAQ"),"")</f>
        <v>PEAQ</v>
      </c>
    </row>
    <row r="703" spans="1:2" x14ac:dyDescent="0.2">
      <c r="A703" s="17">
        <v>20061773</v>
      </c>
      <c r="B703" t="str">
        <f>_xlfn.IFNA(IF(VLOOKUP(A703,MD!$A:$N,3,0) = "-","MEDION","PEAQ"),"")</f>
        <v/>
      </c>
    </row>
    <row r="704" spans="1:2" x14ac:dyDescent="0.2">
      <c r="A704" s="15">
        <v>99674</v>
      </c>
      <c r="B704" t="str">
        <f>_xlfn.IFNA(IF(VLOOKUP(A704,MD!$A:$N,3,0) = "-","MEDION","PEAQ"),"")</f>
        <v>PEAQ</v>
      </c>
    </row>
    <row r="705" spans="1:2" x14ac:dyDescent="0.2">
      <c r="A705" s="17" t="s">
        <v>674</v>
      </c>
      <c r="B705" t="str">
        <f>_xlfn.IFNA(IF(VLOOKUP(A705,MD!$A:$N,3,0) = "-","MEDION","PEAQ"),"")</f>
        <v/>
      </c>
    </row>
    <row r="706" spans="1:2" x14ac:dyDescent="0.2">
      <c r="A706" s="15">
        <v>99801</v>
      </c>
      <c r="B706" t="str">
        <f>_xlfn.IFNA(IF(VLOOKUP(A706,MD!$A:$N,3,0) = "-","MEDION","PEAQ"),"")</f>
        <v>PEAQ</v>
      </c>
    </row>
    <row r="707" spans="1:2" x14ac:dyDescent="0.2">
      <c r="A707" s="15">
        <v>99802</v>
      </c>
      <c r="B707" t="str">
        <f>_xlfn.IFNA(IF(VLOOKUP(A707,MD!$A:$N,3,0) = "-","MEDION","PEAQ"),"")</f>
        <v>PEAQ</v>
      </c>
    </row>
    <row r="708" spans="1:2" x14ac:dyDescent="0.2">
      <c r="A708" s="17">
        <v>20061707</v>
      </c>
      <c r="B708" t="str">
        <f>_xlfn.IFNA(IF(VLOOKUP(A708,MD!$A:$N,3,0) = "-","MEDION","PEAQ"),"")</f>
        <v/>
      </c>
    </row>
    <row r="709" spans="1:2" x14ac:dyDescent="0.2">
      <c r="A709" s="15">
        <v>99808</v>
      </c>
      <c r="B709" t="str">
        <f>_xlfn.IFNA(IF(VLOOKUP(A709,MD!$A:$N,3,0) = "-","MEDION","PEAQ"),"")</f>
        <v>PEAQ</v>
      </c>
    </row>
    <row r="710" spans="1:2" x14ac:dyDescent="0.2">
      <c r="A710" s="17">
        <v>20061924</v>
      </c>
      <c r="B710" t="str">
        <f>_xlfn.IFNA(IF(VLOOKUP(A710,MD!$A:$N,3,0) = "-","MEDION","PEAQ"),"")</f>
        <v/>
      </c>
    </row>
    <row r="711" spans="1:2" x14ac:dyDescent="0.2">
      <c r="A711" s="15">
        <v>99816</v>
      </c>
      <c r="B711" t="str">
        <f>_xlfn.IFNA(IF(VLOOKUP(A711,MD!$A:$N,3,0) = "-","MEDION","PEAQ"),"")</f>
        <v>PEAQ</v>
      </c>
    </row>
    <row r="712" spans="1:2" x14ac:dyDescent="0.2">
      <c r="A712" s="15">
        <v>99817</v>
      </c>
      <c r="B712" t="str">
        <f>_xlfn.IFNA(IF(VLOOKUP(A712,MD!$A:$N,3,0) = "-","MEDION","PEAQ"),"")</f>
        <v>PEAQ</v>
      </c>
    </row>
    <row r="713" spans="1:2" x14ac:dyDescent="0.2">
      <c r="A713" s="15">
        <v>99908</v>
      </c>
      <c r="B713" t="str">
        <f>_xlfn.IFNA(IF(VLOOKUP(A713,MD!$A:$N,3,0) = "-","MEDION","PEAQ"),"")</f>
        <v>PEAQ</v>
      </c>
    </row>
    <row r="714" spans="1:2" x14ac:dyDescent="0.2">
      <c r="A714" s="15">
        <v>99912</v>
      </c>
      <c r="B714" t="str">
        <f>_xlfn.IFNA(IF(VLOOKUP(A714,MD!$A:$N,3,0) = "-","MEDION","PEAQ"),"")</f>
        <v>PEAQ</v>
      </c>
    </row>
    <row r="715" spans="1:2" x14ac:dyDescent="0.2">
      <c r="A715" s="17">
        <v>20062093</v>
      </c>
      <c r="B715" t="str">
        <f>_xlfn.IFNA(IF(VLOOKUP(A715,MD!$A:$N,3,0) = "-","MEDION","PEAQ"),"")</f>
        <v/>
      </c>
    </row>
    <row r="716" spans="1:2" x14ac:dyDescent="0.2">
      <c r="A716" s="15">
        <v>99911</v>
      </c>
      <c r="B716" t="str">
        <f>_xlfn.IFNA(IF(VLOOKUP(A716,MD!$A:$N,3,0) = "-","MEDION","PEAQ"),"")</f>
        <v>PEAQ</v>
      </c>
    </row>
    <row r="717" spans="1:2" x14ac:dyDescent="0.2">
      <c r="A717" s="17">
        <v>20062323</v>
      </c>
      <c r="B717" t="str">
        <f>_xlfn.IFNA(IF(VLOOKUP(A717,MD!$A:$N,3,0) = "-","MEDION","PEAQ"),"")</f>
        <v/>
      </c>
    </row>
    <row r="718" spans="1:2" x14ac:dyDescent="0.2">
      <c r="A718" s="15">
        <v>99987</v>
      </c>
      <c r="B718" t="str">
        <f>_xlfn.IFNA(IF(VLOOKUP(A718,MD!$A:$N,3,0) = "-","MEDION","PEAQ"),"")</f>
        <v>PEAQ</v>
      </c>
    </row>
    <row r="719" spans="1:2" x14ac:dyDescent="0.2">
      <c r="A719" s="17">
        <v>20061798</v>
      </c>
      <c r="B719" t="str">
        <f>_xlfn.IFNA(IF(VLOOKUP(A719,MD!$A:$N,3,0) = "-","MEDION","PEAQ"),"")</f>
        <v/>
      </c>
    </row>
    <row r="720" spans="1:2" x14ac:dyDescent="0.2">
      <c r="A720" s="15">
        <v>99989</v>
      </c>
      <c r="B720" t="str">
        <f>_xlfn.IFNA(IF(VLOOKUP(A720,MD!$A:$N,3,0) = "-","MEDION","PEAQ"),"")</f>
        <v>PEAQ</v>
      </c>
    </row>
    <row r="721" spans="1:2" x14ac:dyDescent="0.2">
      <c r="A721" s="17">
        <v>20061327</v>
      </c>
      <c r="B721" t="str">
        <f>_xlfn.IFNA(IF(VLOOKUP(A721,MD!$A:$N,3,0) = "-","MEDION","PEAQ"),"")</f>
        <v/>
      </c>
    </row>
    <row r="722" spans="1:2" x14ac:dyDescent="0.2">
      <c r="A722" s="15">
        <v>98964</v>
      </c>
      <c r="B722" t="str">
        <f>_xlfn.IFNA(IF(VLOOKUP(A722,MD!$A:$N,3,0) = "-","MEDION","PEAQ"),"")</f>
        <v>PEAQ</v>
      </c>
    </row>
    <row r="723" spans="1:2" x14ac:dyDescent="0.2">
      <c r="A723" s="17">
        <v>20064575</v>
      </c>
      <c r="B723" t="str">
        <f>_xlfn.IFNA(IF(VLOOKUP(A723,MD!$A:$N,3,0) = "-","MEDION","PEAQ"),"")</f>
        <v/>
      </c>
    </row>
    <row r="724" spans="1:2" x14ac:dyDescent="0.2">
      <c r="A724" s="15">
        <v>60849</v>
      </c>
      <c r="B724" t="str">
        <f>_xlfn.IFNA(IF(VLOOKUP(A724,MD!$A:$N,3,0) = "-","MEDION","PEAQ"),"")</f>
        <v>PEAQ</v>
      </c>
    </row>
    <row r="725" spans="1:2" x14ac:dyDescent="0.2">
      <c r="A725" s="17">
        <v>20064717</v>
      </c>
      <c r="B725" t="str">
        <f>_xlfn.IFNA(IF(VLOOKUP(A725,MD!$A:$N,3,0) = "-","MEDION","PEAQ"),"")</f>
        <v/>
      </c>
    </row>
    <row r="726" spans="1:2" x14ac:dyDescent="0.2">
      <c r="A726" s="15">
        <v>61550</v>
      </c>
      <c r="B726" t="str">
        <f>_xlfn.IFNA(IF(VLOOKUP(A726,MD!$A:$N,3,0) = "-","MEDION","PEAQ"),"")</f>
        <v>PEAQ</v>
      </c>
    </row>
    <row r="727" spans="1:2" x14ac:dyDescent="0.2">
      <c r="A727" s="17">
        <v>20064579</v>
      </c>
      <c r="B727" t="str">
        <f>_xlfn.IFNA(IF(VLOOKUP(A727,MD!$A:$N,3,0) = "-","MEDION","PEAQ"),"")</f>
        <v/>
      </c>
    </row>
    <row r="728" spans="1:2" x14ac:dyDescent="0.2">
      <c r="A728" s="15">
        <v>61200</v>
      </c>
      <c r="B728" t="str">
        <f>_xlfn.IFNA(IF(VLOOKUP(A728,MD!$A:$N,3,0) = "-","MEDION","PEAQ"),"")</f>
        <v>PEAQ</v>
      </c>
    </row>
    <row r="729" spans="1:2" x14ac:dyDescent="0.2">
      <c r="A729" s="17">
        <v>20064570</v>
      </c>
      <c r="B729" t="str">
        <f>_xlfn.IFNA(IF(VLOOKUP(A729,MD!$A:$N,3,0) = "-","MEDION","PEAQ"),"")</f>
        <v/>
      </c>
    </row>
    <row r="730" spans="1:2" x14ac:dyDescent="0.2">
      <c r="A730" s="15">
        <v>60816</v>
      </c>
      <c r="B730" t="str">
        <f>_xlfn.IFNA(IF(VLOOKUP(A730,MD!$A:$N,3,0) = "-","MEDION","PEAQ"),"")</f>
        <v>PEAQ</v>
      </c>
    </row>
    <row r="731" spans="1:2" x14ac:dyDescent="0.2">
      <c r="A731" s="17">
        <v>20063926</v>
      </c>
      <c r="B731" t="str">
        <f>_xlfn.IFNA(IF(VLOOKUP(A731,MD!$A:$N,3,0) = "-","MEDION","PEAQ"),"")</f>
        <v/>
      </c>
    </row>
    <row r="732" spans="1:2" x14ac:dyDescent="0.2">
      <c r="A732" s="15">
        <v>60497</v>
      </c>
      <c r="B732" t="str">
        <f>_xlfn.IFNA(IF(VLOOKUP(A732,MD!$A:$N,3,0) = "-","MEDION","PEAQ"),"")</f>
        <v>PEAQ</v>
      </c>
    </row>
    <row r="733" spans="1:2" x14ac:dyDescent="0.2">
      <c r="A733" s="15">
        <v>60577</v>
      </c>
      <c r="B733" t="str">
        <f>_xlfn.IFNA(IF(VLOOKUP(A733,MD!$A:$N,3,0) = "-","MEDION","PEAQ"),"")</f>
        <v>PEAQ</v>
      </c>
    </row>
    <row r="734" spans="1:2" x14ac:dyDescent="0.2">
      <c r="A734" s="17">
        <v>20064648</v>
      </c>
      <c r="B734" t="str">
        <f>_xlfn.IFNA(IF(VLOOKUP(A734,MD!$A:$N,3,0) = "-","MEDION","PEAQ"),"")</f>
        <v/>
      </c>
    </row>
    <row r="735" spans="1:2" x14ac:dyDescent="0.2">
      <c r="A735" s="15">
        <v>60791</v>
      </c>
      <c r="B735" t="str">
        <f>_xlfn.IFNA(IF(VLOOKUP(A735,MD!$A:$N,3,0) = "-","MEDION","PEAQ"),"")</f>
        <v>PEAQ</v>
      </c>
    </row>
    <row r="736" spans="1:2" x14ac:dyDescent="0.2">
      <c r="A736" s="15">
        <v>60792</v>
      </c>
      <c r="B736" t="str">
        <f>_xlfn.IFNA(IF(VLOOKUP(A736,MD!$A:$N,3,0) = "-","MEDION","PEAQ"),"")</f>
        <v>PEAQ</v>
      </c>
    </row>
    <row r="737" spans="1:2" x14ac:dyDescent="0.2">
      <c r="A737" s="17">
        <v>20064642</v>
      </c>
      <c r="B737" t="str">
        <f>_xlfn.IFNA(IF(VLOOKUP(A737,MD!$A:$N,3,0) = "-","MEDION","PEAQ"),"")</f>
        <v/>
      </c>
    </row>
    <row r="738" spans="1:2" x14ac:dyDescent="0.2">
      <c r="A738" s="15">
        <v>60817</v>
      </c>
      <c r="B738" t="str">
        <f>_xlfn.IFNA(IF(VLOOKUP(A738,MD!$A:$N,3,0) = "-","MEDION","PEAQ"),"")</f>
        <v>PEAQ</v>
      </c>
    </row>
    <row r="739" spans="1:2" x14ac:dyDescent="0.2">
      <c r="A739" s="15">
        <v>60825</v>
      </c>
      <c r="B739" t="str">
        <f>_xlfn.IFNA(IF(VLOOKUP(A739,MD!$A:$N,3,0) = "-","MEDION","PEAQ"),"")</f>
        <v>PEAQ</v>
      </c>
    </row>
    <row r="740" spans="1:2" x14ac:dyDescent="0.2">
      <c r="A740" s="15">
        <v>60826</v>
      </c>
      <c r="B740" t="str">
        <f>_xlfn.IFNA(IF(VLOOKUP(A740,MD!$A:$N,3,0) = "-","MEDION","PEAQ"),"")</f>
        <v>PEAQ</v>
      </c>
    </row>
    <row r="741" spans="1:2" x14ac:dyDescent="0.2">
      <c r="A741" s="17" t="s">
        <v>971</v>
      </c>
      <c r="B741" t="str">
        <f>_xlfn.IFNA(IF(VLOOKUP(A741,MD!$A:$N,3,0) = "-","MEDION","PEAQ"),"")</f>
        <v/>
      </c>
    </row>
    <row r="742" spans="1:2" x14ac:dyDescent="0.2">
      <c r="A742" s="15">
        <v>60594</v>
      </c>
      <c r="B742" t="str">
        <f>_xlfn.IFNA(IF(VLOOKUP(A742,MD!$A:$N,3,0) = "-","MEDION","PEAQ"),"")</f>
        <v>PEAQ</v>
      </c>
    </row>
    <row r="743" spans="1:2" x14ac:dyDescent="0.2">
      <c r="A743" s="15">
        <v>60433</v>
      </c>
      <c r="B743" t="str">
        <f>_xlfn.IFNA(IF(VLOOKUP(A743,MD!$A:$N,3,0) = "-","MEDION","PEAQ"),"")</f>
        <v>PEAQ</v>
      </c>
    </row>
    <row r="744" spans="1:2" x14ac:dyDescent="0.2">
      <c r="A744" s="17">
        <v>20063523</v>
      </c>
      <c r="B744" t="str">
        <f>_xlfn.IFNA(IF(VLOOKUP(A744,MD!$A:$N,3,0) = "-","MEDION","PEAQ"),"")</f>
        <v/>
      </c>
    </row>
    <row r="745" spans="1:2" x14ac:dyDescent="0.2">
      <c r="A745" s="15">
        <v>60425</v>
      </c>
      <c r="B745" t="str">
        <f>_xlfn.IFNA(IF(VLOOKUP(A745,MD!$A:$N,3,0) = "-","MEDION","PEAQ"),"")</f>
        <v>PEAQ</v>
      </c>
    </row>
    <row r="746" spans="1:2" x14ac:dyDescent="0.2">
      <c r="A746" s="15">
        <v>60427</v>
      </c>
      <c r="B746" t="str">
        <f>_xlfn.IFNA(IF(VLOOKUP(A746,MD!$A:$N,3,0) = "-","MEDION","PEAQ"),"")</f>
        <v>PEAQ</v>
      </c>
    </row>
    <row r="747" spans="1:2" x14ac:dyDescent="0.2">
      <c r="A747" s="17">
        <v>20062401</v>
      </c>
      <c r="B747" t="str">
        <f>_xlfn.IFNA(IF(VLOOKUP(A747,MD!$A:$N,3,0) = "-","MEDION","PEAQ"),"")</f>
        <v/>
      </c>
    </row>
    <row r="748" spans="1:2" x14ac:dyDescent="0.2">
      <c r="A748" s="15">
        <v>60059</v>
      </c>
      <c r="B748" t="str">
        <f>_xlfn.IFNA(IF(VLOOKUP(A748,MD!$A:$N,3,0) = "-","MEDION","PEAQ"),"")</f>
        <v>PEAQ</v>
      </c>
    </row>
    <row r="749" spans="1:2" x14ac:dyDescent="0.2">
      <c r="A749" s="15">
        <v>60058</v>
      </c>
      <c r="B749" t="str">
        <f>_xlfn.IFNA(IF(VLOOKUP(A749,MD!$A:$N,3,0) = "-","MEDION","PEAQ"),"")</f>
        <v>PEAQ</v>
      </c>
    </row>
    <row r="750" spans="1:2" x14ac:dyDescent="0.2">
      <c r="A750" s="17">
        <v>20064373</v>
      </c>
      <c r="B750" t="str">
        <f>_xlfn.IFNA(IF(VLOOKUP(A750,MD!$A:$N,3,0) = "-","MEDION","PEAQ"),"")</f>
        <v/>
      </c>
    </row>
    <row r="751" spans="1:2" x14ac:dyDescent="0.2">
      <c r="A751" s="15">
        <v>60775</v>
      </c>
      <c r="B751" t="str">
        <f>_xlfn.IFNA(IF(VLOOKUP(A751,MD!$A:$N,3,0) = "-","MEDION","PEAQ"),"")</f>
        <v>PEAQ</v>
      </c>
    </row>
    <row r="752" spans="1:2" x14ac:dyDescent="0.2">
      <c r="A752" s="17">
        <v>20065318</v>
      </c>
      <c r="B752" t="str">
        <f>_xlfn.IFNA(IF(VLOOKUP(A752,MD!$A:$N,3,0) = "-","MEDION","PEAQ"),"")</f>
        <v/>
      </c>
    </row>
    <row r="753" spans="1:2" x14ac:dyDescent="0.2">
      <c r="A753" s="15">
        <v>60200</v>
      </c>
      <c r="B753" t="str">
        <f>_xlfn.IFNA(IF(VLOOKUP(A753,MD!$A:$N,3,0) = "-","MEDION","PEAQ"),"")</f>
        <v>PEAQ</v>
      </c>
    </row>
    <row r="754" spans="1:2" x14ac:dyDescent="0.2">
      <c r="A754" s="15">
        <v>60385</v>
      </c>
      <c r="B754" t="str">
        <f>_xlfn.IFNA(IF(VLOOKUP(A754,MD!$A:$N,3,0) = "-","MEDION","PEAQ"),"")</f>
        <v>PEAQ</v>
      </c>
    </row>
    <row r="755" spans="1:2" x14ac:dyDescent="0.2">
      <c r="A755" s="17">
        <v>20063811</v>
      </c>
      <c r="B755" t="str">
        <f>_xlfn.IFNA(IF(VLOOKUP(A755,MD!$A:$N,3,0) = "-","MEDION","PEAQ"),"")</f>
        <v/>
      </c>
    </row>
    <row r="756" spans="1:2" x14ac:dyDescent="0.2">
      <c r="A756" s="15">
        <v>60560</v>
      </c>
      <c r="B756" t="str">
        <f>_xlfn.IFNA(IF(VLOOKUP(A756,MD!$A:$N,3,0) = "-","MEDION","PEAQ"),"")</f>
        <v>PEAQ</v>
      </c>
    </row>
    <row r="757" spans="1:2" x14ac:dyDescent="0.2">
      <c r="A757" s="15">
        <v>60559</v>
      </c>
      <c r="B757" t="str">
        <f>_xlfn.IFNA(IF(VLOOKUP(A757,MD!$A:$N,3,0) = "-","MEDION","PEAQ"),"")</f>
        <v>PEAQ</v>
      </c>
    </row>
    <row r="758" spans="1:2" x14ac:dyDescent="0.2">
      <c r="A758" s="17">
        <v>20063749</v>
      </c>
      <c r="B758" t="str">
        <f>_xlfn.IFNA(IF(VLOOKUP(A758,MD!$A:$N,3,0) = "-","MEDION","PEAQ"),"")</f>
        <v/>
      </c>
    </row>
    <row r="759" spans="1:2" x14ac:dyDescent="0.2">
      <c r="A759" s="15">
        <v>60558</v>
      </c>
      <c r="B759" t="str">
        <f>_xlfn.IFNA(IF(VLOOKUP(A759,MD!$A:$N,3,0) = "-","MEDION","PEAQ"),"")</f>
        <v>PEAQ</v>
      </c>
    </row>
    <row r="760" spans="1:2" x14ac:dyDescent="0.2">
      <c r="A760" s="17">
        <v>20063374</v>
      </c>
      <c r="B760" t="str">
        <f>_xlfn.IFNA(IF(VLOOKUP(A760,MD!$A:$N,3,0) = "-","MEDION","PEAQ"),"")</f>
        <v/>
      </c>
    </row>
    <row r="761" spans="1:2" x14ac:dyDescent="0.2">
      <c r="A761" s="15">
        <v>60419</v>
      </c>
      <c r="B761" t="str">
        <f>_xlfn.IFNA(IF(VLOOKUP(A761,MD!$A:$N,3,0) = "-","MEDION","PEAQ"),"")</f>
        <v>PEAQ</v>
      </c>
    </row>
    <row r="762" spans="1:2" x14ac:dyDescent="0.2">
      <c r="A762" s="17">
        <v>20061726</v>
      </c>
      <c r="B762" t="str">
        <f>_xlfn.IFNA(IF(VLOOKUP(A762,MD!$A:$N,3,0) = "-","MEDION","PEAQ"),"")</f>
        <v/>
      </c>
    </row>
    <row r="763" spans="1:2" x14ac:dyDescent="0.2">
      <c r="A763" s="15">
        <v>99743</v>
      </c>
      <c r="B763" t="str">
        <f>_xlfn.IFNA(IF(VLOOKUP(A763,MD!$A:$N,3,0) = "-","MEDION","PEAQ"),"")</f>
        <v>PEAQ</v>
      </c>
    </row>
    <row r="764" spans="1:2" x14ac:dyDescent="0.2">
      <c r="A764" s="17">
        <v>20062096</v>
      </c>
      <c r="B764" t="str">
        <f>_xlfn.IFNA(IF(VLOOKUP(A764,MD!$A:$N,3,0) = "-","MEDION","PEAQ"),"")</f>
        <v/>
      </c>
    </row>
    <row r="765" spans="1:2" x14ac:dyDescent="0.2">
      <c r="A765" s="15">
        <v>99821</v>
      </c>
      <c r="B765" t="str">
        <f>_xlfn.IFNA(IF(VLOOKUP(A765,MD!$A:$N,3,0) = "-","MEDION","PEAQ"),"")</f>
        <v>PEAQ</v>
      </c>
    </row>
    <row r="766" spans="1:2" x14ac:dyDescent="0.2">
      <c r="A766" s="17">
        <v>20061744</v>
      </c>
      <c r="B766" t="str">
        <f>_xlfn.IFNA(IF(VLOOKUP(A766,MD!$A:$N,3,0) = "-","MEDION","PEAQ"),"")</f>
        <v/>
      </c>
    </row>
    <row r="767" spans="1:2" x14ac:dyDescent="0.2">
      <c r="A767" s="15">
        <v>99823</v>
      </c>
      <c r="B767" t="str">
        <f>_xlfn.IFNA(IF(VLOOKUP(A767,MD!$A:$N,3,0) = "-","MEDION","PEAQ"),"")</f>
        <v>PEAQ</v>
      </c>
    </row>
    <row r="768" spans="1:2" x14ac:dyDescent="0.2">
      <c r="A768" s="17">
        <v>20064934</v>
      </c>
      <c r="B768" t="str">
        <f>_xlfn.IFNA(IF(VLOOKUP(A768,MD!$A:$N,3,0) = "-","MEDION","PEAQ"),"")</f>
        <v/>
      </c>
    </row>
    <row r="769" spans="1:2" x14ac:dyDescent="0.2">
      <c r="A769" s="15">
        <v>61650</v>
      </c>
      <c r="B769" t="str">
        <f>_xlfn.IFNA(IF(VLOOKUP(A769,MD!$A:$N,3,0) = "-","MEDION","PEAQ"),"")</f>
        <v>PEAQ</v>
      </c>
    </row>
    <row r="770" spans="1:2" x14ac:dyDescent="0.2">
      <c r="A770" s="17">
        <v>20064682</v>
      </c>
      <c r="B770" t="str">
        <f>_xlfn.IFNA(IF(VLOOKUP(A770,MD!$A:$N,3,0) = "-","MEDION","PEAQ"),"")</f>
        <v/>
      </c>
    </row>
    <row r="771" spans="1:2" x14ac:dyDescent="0.2">
      <c r="A771" s="15">
        <v>61300</v>
      </c>
      <c r="B771" t="str">
        <f>_xlfn.IFNA(IF(VLOOKUP(A771,MD!$A:$N,3,0) = "-","MEDION","PEAQ"),"")</f>
        <v>PEAQ</v>
      </c>
    </row>
    <row r="772" spans="1:2" x14ac:dyDescent="0.2">
      <c r="A772" s="17">
        <v>20061967</v>
      </c>
      <c r="B772" t="str">
        <f>_xlfn.IFNA(IF(VLOOKUP(A772,MD!$A:$N,3,0) = "-","MEDION","PEAQ"),"")</f>
        <v/>
      </c>
    </row>
    <row r="773" spans="1:2" x14ac:dyDescent="0.2">
      <c r="A773" s="15">
        <v>99875</v>
      </c>
      <c r="B773" t="str">
        <f>_xlfn.IFNA(IF(VLOOKUP(A773,MD!$A:$N,3,0) = "-","MEDION","PEAQ"),"")</f>
        <v>PEAQ</v>
      </c>
    </row>
    <row r="774" spans="1:2" x14ac:dyDescent="0.2">
      <c r="A774" s="17">
        <v>20064414</v>
      </c>
      <c r="B774" t="str">
        <f>_xlfn.IFNA(IF(VLOOKUP(A774,MD!$A:$N,3,0) = "-","MEDION","PEAQ"),"")</f>
        <v/>
      </c>
    </row>
    <row r="775" spans="1:2" x14ac:dyDescent="0.2">
      <c r="A775" s="15">
        <v>60813</v>
      </c>
      <c r="B775" t="str">
        <f>_xlfn.IFNA(IF(VLOOKUP(A775,MD!$A:$N,3,0) = "-","MEDION","PEAQ"),"")</f>
        <v>PEAQ</v>
      </c>
    </row>
    <row r="776" spans="1:2" x14ac:dyDescent="0.2">
      <c r="A776" s="17">
        <v>20064834</v>
      </c>
      <c r="B776" t="str">
        <f>_xlfn.IFNA(IF(VLOOKUP(A776,MD!$A:$N,3,0) = "-","MEDION","PEAQ"),"")</f>
        <v/>
      </c>
    </row>
    <row r="777" spans="1:2" x14ac:dyDescent="0.2">
      <c r="A777" s="15">
        <v>60948</v>
      </c>
      <c r="B777" t="str">
        <f>_xlfn.IFNA(IF(VLOOKUP(A777,MD!$A:$N,3,0) = "-","MEDION","PEAQ"),"")</f>
        <v>PEAQ</v>
      </c>
    </row>
    <row r="778" spans="1:2" x14ac:dyDescent="0.2">
      <c r="A778" s="15">
        <v>60939</v>
      </c>
      <c r="B778" t="str">
        <f>_xlfn.IFNA(IF(VLOOKUP(A778,MD!$A:$N,3,0) = "-","MEDION","PEAQ"),"")</f>
        <v>PEAQ</v>
      </c>
    </row>
    <row r="779" spans="1:2" x14ac:dyDescent="0.2">
      <c r="A779" s="17">
        <v>20063938</v>
      </c>
      <c r="B779" t="str">
        <f>_xlfn.IFNA(IF(VLOOKUP(A779,MD!$A:$N,3,0) = "-","MEDION","PEAQ"),"")</f>
        <v/>
      </c>
    </row>
    <row r="780" spans="1:2" x14ac:dyDescent="0.2">
      <c r="A780" s="15">
        <v>60597</v>
      </c>
      <c r="B780" t="str">
        <f>_xlfn.IFNA(IF(VLOOKUP(A780,MD!$A:$N,3,0) = "-","MEDION","PEAQ"),"")</f>
        <v>PEAQ</v>
      </c>
    </row>
    <row r="781" spans="1:2" x14ac:dyDescent="0.2">
      <c r="A781" s="15">
        <v>60608</v>
      </c>
      <c r="B781" t="str">
        <f>_xlfn.IFNA(IF(VLOOKUP(A781,MD!$A:$N,3,0) = "-","MEDION","PEAQ"),"")</f>
        <v>PEAQ</v>
      </c>
    </row>
    <row r="782" spans="1:2" x14ac:dyDescent="0.2">
      <c r="A782" s="15">
        <v>60501</v>
      </c>
      <c r="B782" t="str">
        <f>_xlfn.IFNA(IF(VLOOKUP(A782,MD!$A:$N,3,0) = "-","MEDION","PEAQ"),"")</f>
        <v>PEAQ</v>
      </c>
    </row>
    <row r="783" spans="1:2" x14ac:dyDescent="0.2">
      <c r="A783" s="15">
        <v>60607</v>
      </c>
      <c r="B783" t="str">
        <f>_xlfn.IFNA(IF(VLOOKUP(A783,MD!$A:$N,3,0) = "-","MEDION","PEAQ"),"")</f>
        <v>PEAQ</v>
      </c>
    </row>
    <row r="784" spans="1:2" x14ac:dyDescent="0.2">
      <c r="A784" s="17">
        <v>20062819</v>
      </c>
      <c r="B784" t="str">
        <f>_xlfn.IFNA(IF(VLOOKUP(A784,MD!$A:$N,3,0) = "-","MEDION","PEAQ"),"")</f>
        <v/>
      </c>
    </row>
    <row r="785" spans="1:2" x14ac:dyDescent="0.2">
      <c r="A785" s="15">
        <v>60083</v>
      </c>
      <c r="B785" t="str">
        <f>_xlfn.IFNA(IF(VLOOKUP(A785,MD!$A:$N,3,0) = "-","MEDION","PEAQ"),"")</f>
        <v>PEAQ</v>
      </c>
    </row>
    <row r="786" spans="1:2" x14ac:dyDescent="0.2">
      <c r="A786" s="17">
        <v>20064942</v>
      </c>
      <c r="B786" t="str">
        <f>_xlfn.IFNA(IF(VLOOKUP(A786,MD!$A:$N,3,0) = "-","MEDION","PEAQ"),"")</f>
        <v/>
      </c>
    </row>
    <row r="787" spans="1:2" x14ac:dyDescent="0.2">
      <c r="A787" s="15">
        <v>61750</v>
      </c>
      <c r="B787" t="str">
        <f>_xlfn.IFNA(IF(VLOOKUP(A787,MD!$A:$N,3,0) = "-","MEDION","PEAQ"),"")</f>
        <v>PEAQ</v>
      </c>
    </row>
    <row r="788" spans="1:2" x14ac:dyDescent="0.2">
      <c r="A788" s="17">
        <v>20064223</v>
      </c>
      <c r="B788" t="str">
        <f>_xlfn.IFNA(IF(VLOOKUP(A788,MD!$A:$N,3,0) = "-","MEDION","PEAQ"),"")</f>
        <v/>
      </c>
    </row>
    <row r="789" spans="1:2" x14ac:dyDescent="0.2">
      <c r="A789" s="15">
        <v>60732</v>
      </c>
      <c r="B789" t="str">
        <f>_xlfn.IFNA(IF(VLOOKUP(A789,MD!$A:$N,3,0) = "-","MEDION","PEAQ"),"")</f>
        <v>PEAQ</v>
      </c>
    </row>
    <row r="790" spans="1:2" x14ac:dyDescent="0.2">
      <c r="A790" s="17">
        <v>20064178</v>
      </c>
      <c r="B790" t="str">
        <f>_xlfn.IFNA(IF(VLOOKUP(A790,MD!$A:$N,3,0) = "-","MEDION","PEAQ"),"")</f>
        <v/>
      </c>
    </row>
    <row r="791" spans="1:2" x14ac:dyDescent="0.2">
      <c r="A791" s="15">
        <v>60728</v>
      </c>
      <c r="B791" t="str">
        <f>_xlfn.IFNA(IF(VLOOKUP(A791,MD!$A:$N,3,0) = "-","MEDION","PEAQ"),"")</f>
        <v>PEAQ</v>
      </c>
    </row>
    <row r="792" spans="1:2" x14ac:dyDescent="0.2">
      <c r="A792" s="15">
        <v>60730</v>
      </c>
      <c r="B792" t="str">
        <f>_xlfn.IFNA(IF(VLOOKUP(A792,MD!$A:$N,3,0) = "-","MEDION","PEAQ"),"")</f>
        <v>PEAQ</v>
      </c>
    </row>
    <row r="793" spans="1:2" x14ac:dyDescent="0.2">
      <c r="A793" s="17">
        <v>20065001</v>
      </c>
      <c r="B793" t="str">
        <f>_xlfn.IFNA(IF(VLOOKUP(A793,MD!$A:$N,3,0) = "-","MEDION","PEAQ"),"")</f>
        <v/>
      </c>
    </row>
    <row r="794" spans="1:2" x14ac:dyDescent="0.2">
      <c r="A794" s="15">
        <v>60984</v>
      </c>
      <c r="B794" t="str">
        <f>_xlfn.IFNA(IF(VLOOKUP(A794,MD!$A:$N,3,0) = "-","MEDION","PEAQ"),"")</f>
        <v>PEAQ</v>
      </c>
    </row>
    <row r="795" spans="1:2" x14ac:dyDescent="0.2">
      <c r="A795" s="15">
        <v>60985</v>
      </c>
      <c r="B795" t="str">
        <f>_xlfn.IFNA(IF(VLOOKUP(A795,MD!$A:$N,3,0) = "-","MEDION","PEAQ"),"")</f>
        <v>PEAQ</v>
      </c>
    </row>
    <row r="796" spans="1:2" x14ac:dyDescent="0.2">
      <c r="A796" s="17">
        <v>20064777</v>
      </c>
      <c r="B796" t="str">
        <f>_xlfn.IFNA(IF(VLOOKUP(A796,MD!$A:$N,3,0) = "-","MEDION","PEAQ"),"")</f>
        <v/>
      </c>
    </row>
    <row r="797" spans="1:2" x14ac:dyDescent="0.2">
      <c r="A797" s="15">
        <v>61600</v>
      </c>
      <c r="B797" t="str">
        <f>_xlfn.IFNA(IF(VLOOKUP(A797,MD!$A:$N,3,0) = "-","MEDION","PEAQ"),"")</f>
        <v>PEAQ</v>
      </c>
    </row>
    <row r="798" spans="1:2" x14ac:dyDescent="0.2">
      <c r="A798" s="17">
        <v>20063244</v>
      </c>
      <c r="B798" t="str">
        <f>_xlfn.IFNA(IF(VLOOKUP(A798,MD!$A:$N,3,0) = "-","MEDION","PEAQ"),"")</f>
        <v/>
      </c>
    </row>
    <row r="799" spans="1:2" x14ac:dyDescent="0.2">
      <c r="A799" s="15">
        <v>60413</v>
      </c>
      <c r="B799" t="str">
        <f>_xlfn.IFNA(IF(VLOOKUP(A799,MD!$A:$N,3,0) = "-","MEDION","PEAQ"),"")</f>
        <v>PEAQ</v>
      </c>
    </row>
    <row r="800" spans="1:2" x14ac:dyDescent="0.2">
      <c r="A800" s="17">
        <v>20065033</v>
      </c>
      <c r="B800" t="str">
        <f>_xlfn.IFNA(IF(VLOOKUP(A800,MD!$A:$N,3,0) = "-","MEDION","PEAQ"),"")</f>
        <v/>
      </c>
    </row>
    <row r="801" spans="1:2" x14ac:dyDescent="0.2">
      <c r="A801" s="15">
        <v>61850</v>
      </c>
      <c r="B801" t="str">
        <f>_xlfn.IFNA(IF(VLOOKUP(A801,MD!$A:$N,3,0) = "-","MEDION","PEAQ"),"")</f>
        <v>PEAQ</v>
      </c>
    </row>
    <row r="802" spans="1:2" x14ac:dyDescent="0.2">
      <c r="A802" s="17" t="s">
        <v>1235</v>
      </c>
      <c r="B802" t="str">
        <f>_xlfn.IFNA(IF(VLOOKUP(A802,MD!$A:$N,3,0) = "-","MEDION","PEAQ"),"")</f>
        <v/>
      </c>
    </row>
    <row r="803" spans="1:2" x14ac:dyDescent="0.2">
      <c r="A803" s="15">
        <v>60573</v>
      </c>
      <c r="B803" t="str">
        <f>_xlfn.IFNA(IF(VLOOKUP(A803,MD!$A:$N,3,0) = "-","MEDION","PEAQ"),"")</f>
        <v>PEAQ</v>
      </c>
    </row>
    <row r="804" spans="1:2" x14ac:dyDescent="0.2">
      <c r="A804" s="17" t="s">
        <v>1236</v>
      </c>
      <c r="B804" t="str">
        <f>_xlfn.IFNA(IF(VLOOKUP(A804,MD!$A:$N,3,0) = "-","MEDION","PEAQ"),"")</f>
        <v/>
      </c>
    </row>
    <row r="805" spans="1:2" x14ac:dyDescent="0.2">
      <c r="A805" s="15">
        <v>99995</v>
      </c>
      <c r="B805" t="str">
        <f>_xlfn.IFNA(IF(VLOOKUP(A805,MD!$A:$N,3,0) = "-","MEDION","PEAQ"),"")</f>
        <v>PEAQ</v>
      </c>
    </row>
    <row r="806" spans="1:2" x14ac:dyDescent="0.2">
      <c r="A806" s="15">
        <v>99994</v>
      </c>
      <c r="B806" t="str">
        <f>_xlfn.IFNA(IF(VLOOKUP(A806,MD!$A:$N,3,0) = "-","MEDION","PEAQ"),"")</f>
        <v>PEAQ</v>
      </c>
    </row>
    <row r="807" spans="1:2" x14ac:dyDescent="0.2">
      <c r="A807" s="17">
        <v>20065179</v>
      </c>
      <c r="B807" t="str">
        <f>_xlfn.IFNA(IF(VLOOKUP(A807,MD!$A:$N,3,0) = "-","MEDION","PEAQ"),"")</f>
        <v/>
      </c>
    </row>
    <row r="808" spans="1:2" x14ac:dyDescent="0.2">
      <c r="A808" s="15">
        <v>60619</v>
      </c>
      <c r="B808" t="str">
        <f>_xlfn.IFNA(IF(VLOOKUP(A808,MD!$A:$N,3,0) = "-","MEDION","PEAQ"),"")</f>
        <v>PEAQ</v>
      </c>
    </row>
    <row r="809" spans="1:2" x14ac:dyDescent="0.2">
      <c r="A809" s="15">
        <v>60618</v>
      </c>
      <c r="B809" t="str">
        <f>_xlfn.IFNA(IF(VLOOKUP(A809,MD!$A:$N,3,0) = "-","MEDION","PEAQ"),"")</f>
        <v>PEAQ</v>
      </c>
    </row>
    <row r="810" spans="1:2" x14ac:dyDescent="0.2">
      <c r="A810" s="17">
        <v>20063860</v>
      </c>
      <c r="B810" t="str">
        <f>_xlfn.IFNA(IF(VLOOKUP(A810,MD!$A:$N,3,0) = "-","MEDION","PEAQ"),"")</f>
        <v/>
      </c>
    </row>
    <row r="811" spans="1:2" x14ac:dyDescent="0.2">
      <c r="A811" s="15">
        <v>60691</v>
      </c>
      <c r="B811" t="str">
        <f>_xlfn.IFNA(IF(VLOOKUP(A811,MD!$A:$N,3,0) = "-","MEDION","PEAQ"),"")</f>
        <v>PEAQ</v>
      </c>
    </row>
    <row r="812" spans="1:2" x14ac:dyDescent="0.2">
      <c r="A812" s="15">
        <v>60684</v>
      </c>
      <c r="B812" t="str">
        <f>_xlfn.IFNA(IF(VLOOKUP(A812,MD!$A:$N,3,0) = "-","MEDION","PEAQ"),"")</f>
        <v>PEAQ</v>
      </c>
    </row>
    <row r="813" spans="1:2" x14ac:dyDescent="0.2">
      <c r="A813" s="15">
        <v>60685</v>
      </c>
      <c r="B813" t="str">
        <f>_xlfn.IFNA(IF(VLOOKUP(A813,MD!$A:$N,3,0) = "-","MEDION","PEAQ"),"")</f>
        <v>PEAQ</v>
      </c>
    </row>
    <row r="814" spans="1:2" x14ac:dyDescent="0.2">
      <c r="A814" s="15">
        <v>60686</v>
      </c>
      <c r="B814" t="str">
        <f>_xlfn.IFNA(IF(VLOOKUP(A814,MD!$A:$N,3,0) = "-","MEDION","PEAQ"),"")</f>
        <v>PEAQ</v>
      </c>
    </row>
    <row r="815" spans="1:2" x14ac:dyDescent="0.2">
      <c r="A815" s="15">
        <v>60687</v>
      </c>
      <c r="B815" t="str">
        <f>_xlfn.IFNA(IF(VLOOKUP(A815,MD!$A:$N,3,0) = "-","MEDION","PEAQ"),"")</f>
        <v>PEAQ</v>
      </c>
    </row>
    <row r="816" spans="1:2" x14ac:dyDescent="0.2">
      <c r="A816" s="15">
        <v>60688</v>
      </c>
      <c r="B816" t="str">
        <f>_xlfn.IFNA(IF(VLOOKUP(A816,MD!$A:$N,3,0) = "-","MEDION","PEAQ"),"")</f>
        <v>PEAQ</v>
      </c>
    </row>
    <row r="817" spans="1:2" x14ac:dyDescent="0.2">
      <c r="A817" s="15">
        <v>60689</v>
      </c>
      <c r="B817" t="str">
        <f>_xlfn.IFNA(IF(VLOOKUP(A817,MD!$A:$N,3,0) = "-","MEDION","PEAQ"),"")</f>
        <v>PEAQ</v>
      </c>
    </row>
    <row r="818" spans="1:2" x14ac:dyDescent="0.2">
      <c r="A818" s="15">
        <v>60690</v>
      </c>
      <c r="B818" t="str">
        <f>_xlfn.IFNA(IF(VLOOKUP(A818,MD!$A:$N,3,0) = "-","MEDION","PEAQ"),"")</f>
        <v>PEAQ</v>
      </c>
    </row>
    <row r="819" spans="1:2" x14ac:dyDescent="0.2">
      <c r="A819" s="15">
        <v>60692</v>
      </c>
      <c r="B819" t="str">
        <f>_xlfn.IFNA(IF(VLOOKUP(A819,MD!$A:$N,3,0) = "-","MEDION","PEAQ"),"")</f>
        <v>PEAQ</v>
      </c>
    </row>
    <row r="820" spans="1:2" x14ac:dyDescent="0.2">
      <c r="A820" s="17">
        <v>20064417</v>
      </c>
      <c r="B820" t="str">
        <f>_xlfn.IFNA(IF(VLOOKUP(A820,MD!$A:$N,3,0) = "-","MEDION","PEAQ"),"")</f>
        <v/>
      </c>
    </row>
    <row r="821" spans="1:2" x14ac:dyDescent="0.2">
      <c r="A821" s="15">
        <v>60811</v>
      </c>
      <c r="B821" t="str">
        <f>_xlfn.IFNA(IF(VLOOKUP(A821,MD!$A:$N,3,0) = "-","MEDION","PEAQ"),"")</f>
        <v>PEAQ</v>
      </c>
    </row>
    <row r="822" spans="1:2" x14ac:dyDescent="0.2">
      <c r="A822" s="15">
        <v>60934</v>
      </c>
      <c r="B822" t="str">
        <f>_xlfn.IFNA(IF(VLOOKUP(A822,MD!$A:$N,3,0) = "-","MEDION","PEAQ"),"")</f>
        <v>PEAQ</v>
      </c>
    </row>
    <row r="823" spans="1:2" x14ac:dyDescent="0.2">
      <c r="A823" s="15">
        <v>60810</v>
      </c>
      <c r="B823" t="str">
        <f>_xlfn.IFNA(IF(VLOOKUP(A823,MD!$A:$N,3,0) = "-","MEDION","PEAQ"),"")</f>
        <v>PEAQ</v>
      </c>
    </row>
    <row r="824" spans="1:2" x14ac:dyDescent="0.2">
      <c r="A824" s="17">
        <v>20063593</v>
      </c>
      <c r="B824" t="str">
        <f>_xlfn.IFNA(IF(VLOOKUP(A824,MD!$A:$N,3,0) = "-","MEDION","PEAQ"),"")</f>
        <v/>
      </c>
    </row>
    <row r="825" spans="1:2" x14ac:dyDescent="0.2">
      <c r="A825" s="15">
        <v>60603</v>
      </c>
      <c r="B825" t="str">
        <f>_xlfn.IFNA(IF(VLOOKUP(A825,MD!$A:$N,3,0) = "-","MEDION","PEAQ"),"")</f>
        <v>PEAQ</v>
      </c>
    </row>
    <row r="826" spans="1:2" x14ac:dyDescent="0.2">
      <c r="A826" s="15">
        <v>60602</v>
      </c>
      <c r="B826" t="str">
        <f>_xlfn.IFNA(IF(VLOOKUP(A826,MD!$A:$N,3,0) = "-","MEDION","PEAQ"),"")</f>
        <v>PEAQ</v>
      </c>
    </row>
    <row r="827" spans="1:2" x14ac:dyDescent="0.2">
      <c r="A827" s="15">
        <v>60601</v>
      </c>
      <c r="B827" t="str">
        <f>_xlfn.IFNA(IF(VLOOKUP(A827,MD!$A:$N,3,0) = "-","MEDION","PEAQ"),"")</f>
        <v>PEAQ</v>
      </c>
    </row>
    <row r="828" spans="1:2" x14ac:dyDescent="0.2">
      <c r="A828" s="17">
        <v>20064226</v>
      </c>
      <c r="B828" t="str">
        <f>_xlfn.IFNA(IF(VLOOKUP(A828,MD!$A:$N,3,0) = "-","MEDION","PEAQ"),"")</f>
        <v/>
      </c>
    </row>
    <row r="829" spans="1:2" x14ac:dyDescent="0.2">
      <c r="A829" s="15">
        <v>60751</v>
      </c>
      <c r="B829" t="str">
        <f>_xlfn.IFNA(IF(VLOOKUP(A829,MD!$A:$N,3,0) = "-","MEDION","PEAQ"),"")</f>
        <v>PEAQ</v>
      </c>
    </row>
    <row r="830" spans="1:2" x14ac:dyDescent="0.2">
      <c r="A830" s="17">
        <v>20063877</v>
      </c>
      <c r="B830" t="str">
        <f>_xlfn.IFNA(IF(VLOOKUP(A830,MD!$A:$N,3,0) = "-","MEDION","PEAQ"),"")</f>
        <v/>
      </c>
    </row>
    <row r="831" spans="1:2" x14ac:dyDescent="0.2">
      <c r="A831" s="15">
        <v>60568</v>
      </c>
      <c r="B831" t="str">
        <f>_xlfn.IFNA(IF(VLOOKUP(A831,MD!$A:$N,3,0) = "-","MEDION","PEAQ"),"")</f>
        <v>PEAQ</v>
      </c>
    </row>
    <row r="832" spans="1:2" x14ac:dyDescent="0.2">
      <c r="A832" s="17">
        <v>20064840</v>
      </c>
      <c r="B832" t="str">
        <f>_xlfn.IFNA(IF(VLOOKUP(A832,MD!$A:$N,3,0) = "-","MEDION","PEAQ"),"")</f>
        <v/>
      </c>
    </row>
    <row r="833" spans="1:2" x14ac:dyDescent="0.2">
      <c r="A833" s="15">
        <v>60933</v>
      </c>
      <c r="B833" t="str">
        <f>_xlfn.IFNA(IF(VLOOKUP(A833,MD!$A:$N,3,0) = "-","MEDION","PEAQ"),"")</f>
        <v>PEAQ</v>
      </c>
    </row>
    <row r="834" spans="1:2" x14ac:dyDescent="0.2">
      <c r="A834" s="17">
        <v>20065131</v>
      </c>
      <c r="B834" t="str">
        <f>_xlfn.IFNA(IF(VLOOKUP(A834,MD!$A:$N,3,0) = "-","MEDION","PEAQ"),"")</f>
        <v/>
      </c>
    </row>
    <row r="835" spans="1:2" x14ac:dyDescent="0.2">
      <c r="A835" s="15">
        <v>61950</v>
      </c>
      <c r="B835" t="str">
        <f>_xlfn.IFNA(IF(VLOOKUP(A835,MD!$A:$N,3,0) = "-","MEDION","PEAQ"),"")</f>
        <v>PEAQ</v>
      </c>
    </row>
    <row r="836" spans="1:2" x14ac:dyDescent="0.2">
      <c r="A836" s="17">
        <v>20065640</v>
      </c>
      <c r="B836" t="str">
        <f>_xlfn.IFNA(IF(VLOOKUP(A836,MD!$A:$N,3,0) = "-","MEDION","PEAQ"),"")</f>
        <v/>
      </c>
    </row>
    <row r="837" spans="1:2" x14ac:dyDescent="0.2">
      <c r="A837" s="15">
        <v>60754</v>
      </c>
      <c r="B837" t="str">
        <f>_xlfn.IFNA(IF(VLOOKUP(A837,MD!$A:$N,3,0) = "-","MEDION","PEAQ"),"")</f>
        <v>PEAQ</v>
      </c>
    </row>
    <row r="838" spans="1:2" x14ac:dyDescent="0.2">
      <c r="A838" s="17">
        <v>20064497</v>
      </c>
      <c r="B838" t="str">
        <f>_xlfn.IFNA(IF(VLOOKUP(A838,MD!$A:$N,3,0) = "-","MEDION","PEAQ"),"")</f>
        <v/>
      </c>
    </row>
    <row r="839" spans="1:2" x14ac:dyDescent="0.2">
      <c r="A839" s="15">
        <v>60790</v>
      </c>
      <c r="B839" t="str">
        <f>_xlfn.IFNA(IF(VLOOKUP(A839,MD!$A:$N,3,0) = "-","MEDION","PEAQ"),"")</f>
        <v>PEAQ</v>
      </c>
    </row>
    <row r="840" spans="1:2" x14ac:dyDescent="0.2">
      <c r="A840" s="17">
        <v>20065354</v>
      </c>
      <c r="B840" t="str">
        <f>_xlfn.IFNA(IF(VLOOKUP(A840,MD!$A:$N,3,0) = "-","MEDION","PEAQ"),"")</f>
        <v/>
      </c>
    </row>
    <row r="841" spans="1:2" x14ac:dyDescent="0.2">
      <c r="A841" s="15">
        <v>99528</v>
      </c>
      <c r="B841" t="str">
        <f>_xlfn.IFNA(IF(VLOOKUP(A841,MD!$A:$N,3,0) = "-","MEDION","PEAQ"),"")</f>
        <v>PEAQ</v>
      </c>
    </row>
    <row r="842" spans="1:2" x14ac:dyDescent="0.2">
      <c r="A842" s="17">
        <v>20064719</v>
      </c>
      <c r="B842" t="str">
        <f>_xlfn.IFNA(IF(VLOOKUP(A842,MD!$A:$N,3,0) = "-","MEDION","PEAQ"),"")</f>
        <v/>
      </c>
    </row>
    <row r="843" spans="1:2" x14ac:dyDescent="0.2">
      <c r="A843" s="15">
        <v>60815</v>
      </c>
      <c r="B843" t="str">
        <f>_xlfn.IFNA(IF(VLOOKUP(A843,MD!$A:$N,3,0) = "-","MEDION","PEAQ"),"")</f>
        <v>PEAQ</v>
      </c>
    </row>
    <row r="844" spans="1:2" x14ac:dyDescent="0.2">
      <c r="A844" s="17">
        <v>20061131</v>
      </c>
      <c r="B844" t="str">
        <f>_xlfn.IFNA(IF(VLOOKUP(A844,MD!$A:$N,3,0) = "-","MEDION","PEAQ"),"")</f>
        <v/>
      </c>
    </row>
    <row r="845" spans="1:2" x14ac:dyDescent="0.2">
      <c r="A845" s="15">
        <v>99223</v>
      </c>
      <c r="B845" t="str">
        <f>_xlfn.IFNA(IF(VLOOKUP(A845,MD!$A:$N,3,0) = "-","MEDION","PEAQ"),"")</f>
        <v>PEAQ</v>
      </c>
    </row>
    <row r="846" spans="1:2" x14ac:dyDescent="0.2">
      <c r="A846" s="17" t="s">
        <v>1282</v>
      </c>
      <c r="B846" t="str">
        <f>_xlfn.IFNA(IF(VLOOKUP(A846,MD!$A:$N,3,0) = "-","MEDION","PEAQ"),"")</f>
        <v/>
      </c>
    </row>
    <row r="847" spans="1:2" x14ac:dyDescent="0.2">
      <c r="A847" s="15">
        <v>99558</v>
      </c>
      <c r="B847" t="str">
        <f>_xlfn.IFNA(IF(VLOOKUP(A847,MD!$A:$N,3,0) = "-","MEDION","PEAQ"),"")</f>
        <v>PEAQ</v>
      </c>
    </row>
    <row r="848" spans="1:2" x14ac:dyDescent="0.2">
      <c r="A848" s="17">
        <v>20065641</v>
      </c>
      <c r="B848" t="str">
        <f>_xlfn.IFNA(IF(VLOOKUP(A848,MD!$A:$N,3,0) = "-","MEDION","PEAQ"),"")</f>
        <v/>
      </c>
    </row>
    <row r="849" spans="1:2" x14ac:dyDescent="0.2">
      <c r="A849" s="15">
        <v>99587</v>
      </c>
      <c r="B849" t="str">
        <f>_xlfn.IFNA(IF(VLOOKUP(A849,MD!$A:$N,3,0) = "-","MEDION","PEAQ"),"")</f>
        <v>PEAQ</v>
      </c>
    </row>
    <row r="850" spans="1:2" x14ac:dyDescent="0.2">
      <c r="A850" s="17">
        <v>20065030</v>
      </c>
      <c r="B850" t="str">
        <f>_xlfn.IFNA(IF(VLOOKUP(A850,MD!$A:$N,3,0) = "-","MEDION","PEAQ"),"")</f>
        <v/>
      </c>
    </row>
    <row r="851" spans="1:2" x14ac:dyDescent="0.2">
      <c r="A851" s="15">
        <v>60997</v>
      </c>
      <c r="B851" t="str">
        <f>_xlfn.IFNA(IF(VLOOKUP(A851,MD!$A:$N,3,0) = "-","MEDION","PEAQ"),"")</f>
        <v>PEAQ</v>
      </c>
    </row>
    <row r="852" spans="1:2" x14ac:dyDescent="0.2">
      <c r="A852" s="17">
        <v>20061618</v>
      </c>
      <c r="B852" t="str">
        <f>_xlfn.IFNA(IF(VLOOKUP(A852,MD!$A:$N,3,0) = "-","MEDION","PEAQ"),"")</f>
        <v/>
      </c>
    </row>
    <row r="853" spans="1:2" x14ac:dyDescent="0.2">
      <c r="A853" s="15">
        <v>99878</v>
      </c>
      <c r="B853" t="str">
        <f>_xlfn.IFNA(IF(VLOOKUP(A853,MD!$A:$N,3,0) = "-","MEDION","PEAQ"),"")</f>
        <v>PEAQ</v>
      </c>
    </row>
    <row r="854" spans="1:2" x14ac:dyDescent="0.2">
      <c r="A854" s="14" t="s">
        <v>130</v>
      </c>
      <c r="B854" t="str">
        <f>_xlfn.IFNA(IF(VLOOKUP(A854,MD!$A:$N,3,0) = "-","MEDION","PEAQ"),"")</f>
        <v/>
      </c>
    </row>
    <row r="855" spans="1:2" x14ac:dyDescent="0.2">
      <c r="B855" t="str">
        <f>_xlfn.IFNA(IF(VLOOKUP(A855,MD!$A:$N,3,0) = "-","MEDION","PEAQ"),"")</f>
        <v/>
      </c>
    </row>
    <row r="856" spans="1:2" x14ac:dyDescent="0.2">
      <c r="B856" t="str">
        <f>_xlfn.IFNA(IF(VLOOKUP(A856,MD!$A:$N,3,0) = "-","MEDION","PEAQ"),"")</f>
        <v/>
      </c>
    </row>
    <row r="857" spans="1:2" x14ac:dyDescent="0.2">
      <c r="B857" t="str">
        <f>_xlfn.IFNA(IF(VLOOKUP(A857,MD!$A:$N,3,0) = "-","MEDION","PEAQ"),"")</f>
        <v/>
      </c>
    </row>
    <row r="858" spans="1:2" x14ac:dyDescent="0.2">
      <c r="B858" t="str">
        <f>_xlfn.IFNA(IF(VLOOKUP(A858,MD!$A:$N,3,0) = "-","MEDION","PEAQ"),"")</f>
        <v/>
      </c>
    </row>
    <row r="859" spans="1:2" x14ac:dyDescent="0.2">
      <c r="B859" t="str">
        <f>_xlfn.IFNA(IF(VLOOKUP(A859,MD!$A:$N,3,0) = "-","MEDION","PEAQ"),"")</f>
        <v/>
      </c>
    </row>
    <row r="860" spans="1:2" x14ac:dyDescent="0.2">
      <c r="B860" t="str">
        <f>_xlfn.IFNA(IF(VLOOKUP(A860,MD!$A:$N,3,0) = "-","MEDION","PEAQ"),"")</f>
        <v/>
      </c>
    </row>
    <row r="861" spans="1:2" x14ac:dyDescent="0.2">
      <c r="B861" t="str">
        <f>_xlfn.IFNA(IF(VLOOKUP(A861,MD!$A:$N,3,0) = "-","MEDION","PEAQ"),"")</f>
        <v/>
      </c>
    </row>
    <row r="862" spans="1:2" x14ac:dyDescent="0.2">
      <c r="B862" t="str">
        <f>_xlfn.IFNA(IF(VLOOKUP(A862,MD!$A:$N,3,0) = "-","MEDION","PEAQ"),"")</f>
        <v/>
      </c>
    </row>
    <row r="863" spans="1:2" x14ac:dyDescent="0.2">
      <c r="B863" t="str">
        <f>_xlfn.IFNA(IF(VLOOKUP(A863,MD!$A:$N,3,0) = "-","MEDION","PEAQ"),"")</f>
        <v/>
      </c>
    </row>
    <row r="864" spans="1:2" x14ac:dyDescent="0.2">
      <c r="B864" t="str">
        <f>_xlfn.IFNA(IF(VLOOKUP(A864,MD!$A:$N,3,0) = "-","MEDION","PEAQ"),"")</f>
        <v/>
      </c>
    </row>
    <row r="865" spans="2:2" x14ac:dyDescent="0.2">
      <c r="B865" t="str">
        <f>_xlfn.IFNA(IF(VLOOKUP(A865,MD!$A:$N,3,0) = "-","MEDION","PEAQ"),"")</f>
        <v/>
      </c>
    </row>
    <row r="866" spans="2:2" x14ac:dyDescent="0.2">
      <c r="B866" t="str">
        <f>_xlfn.IFNA(IF(VLOOKUP(A866,MD!$A:$N,3,0) = "-","MEDION","PEAQ"),"")</f>
        <v/>
      </c>
    </row>
    <row r="867" spans="2:2" x14ac:dyDescent="0.2">
      <c r="B867" t="str">
        <f>_xlfn.IFNA(IF(VLOOKUP(A867,MD!$A:$N,3,0) = "-","MEDION","PEAQ"),"")</f>
        <v/>
      </c>
    </row>
    <row r="868" spans="2:2" x14ac:dyDescent="0.2">
      <c r="B868" t="str">
        <f>_xlfn.IFNA(IF(VLOOKUP(A868,MD!$A:$N,3,0) = "-","MEDION","PEAQ"),"")</f>
        <v/>
      </c>
    </row>
    <row r="869" spans="2:2" x14ac:dyDescent="0.2">
      <c r="B869" t="str">
        <f>_xlfn.IFNA(IF(VLOOKUP(A869,MD!$A:$N,3,0) = "-","MEDION","PEAQ"),"")</f>
        <v/>
      </c>
    </row>
    <row r="870" spans="2:2" x14ac:dyDescent="0.2">
      <c r="B870" t="str">
        <f>_xlfn.IFNA(IF(VLOOKUP(A870,MD!$A:$N,3,0) = "-","MEDION","PEAQ"),"")</f>
        <v/>
      </c>
    </row>
    <row r="871" spans="2:2" x14ac:dyDescent="0.2">
      <c r="B871" t="str">
        <f>_xlfn.IFNA(IF(VLOOKUP(A871,MD!$A:$N,3,0) = "-","MEDION","PEAQ"),"")</f>
        <v/>
      </c>
    </row>
    <row r="872" spans="2:2" x14ac:dyDescent="0.2">
      <c r="B872" t="str">
        <f>_xlfn.IFNA(IF(VLOOKUP(A872,MD!$A:$N,3,0) = "-","MEDION","PEAQ"),"")</f>
        <v/>
      </c>
    </row>
    <row r="873" spans="2:2" x14ac:dyDescent="0.2">
      <c r="B873" t="str">
        <f>_xlfn.IFNA(IF(VLOOKUP(A873,MD!$A:$N,3,0) = "-","MEDION","PEAQ"),"")</f>
        <v/>
      </c>
    </row>
    <row r="874" spans="2:2" x14ac:dyDescent="0.2">
      <c r="B874" t="str">
        <f>_xlfn.IFNA(IF(VLOOKUP(A874,MD!$A:$N,3,0) = "-","MEDION","PEAQ"),"")</f>
        <v/>
      </c>
    </row>
    <row r="875" spans="2:2" x14ac:dyDescent="0.2">
      <c r="B875" t="str">
        <f>_xlfn.IFNA(IF(VLOOKUP(A875,MD!$A:$N,3,0) = "-","MEDION","PEAQ"),"")</f>
        <v/>
      </c>
    </row>
    <row r="876" spans="2:2" x14ac:dyDescent="0.2">
      <c r="B876" t="str">
        <f>_xlfn.IFNA(IF(VLOOKUP(A876,MD!$A:$N,3,0) = "-","MEDION","PEAQ"),"")</f>
        <v/>
      </c>
    </row>
    <row r="877" spans="2:2" x14ac:dyDescent="0.2">
      <c r="B877" t="str">
        <f>_xlfn.IFNA(IF(VLOOKUP(A877,MD!$A:$N,3,0) = "-","MEDION","PEAQ"),"")</f>
        <v/>
      </c>
    </row>
    <row r="878" spans="2:2" x14ac:dyDescent="0.2">
      <c r="B878" t="str">
        <f>_xlfn.IFNA(IF(VLOOKUP(A878,MD!$A:$N,3,0) = "-","MEDION","PEAQ"),"")</f>
        <v/>
      </c>
    </row>
    <row r="879" spans="2:2" x14ac:dyDescent="0.2">
      <c r="B879" t="str">
        <f>_xlfn.IFNA(IF(VLOOKUP(A879,MD!$A:$N,3,0) = "-","MEDION","PEAQ"),"")</f>
        <v/>
      </c>
    </row>
    <row r="880" spans="2:2" x14ac:dyDescent="0.2">
      <c r="B880" t="str">
        <f>_xlfn.IFNA(IF(VLOOKUP(A880,MD!$A:$N,3,0) = "-","MEDION","PEAQ"),"")</f>
        <v/>
      </c>
    </row>
    <row r="881" spans="2:2" x14ac:dyDescent="0.2">
      <c r="B881" t="str">
        <f>_xlfn.IFNA(IF(VLOOKUP(A881,MD!$A:$N,3,0) = "-","MEDION","PEAQ"),"")</f>
        <v/>
      </c>
    </row>
    <row r="882" spans="2:2" x14ac:dyDescent="0.2">
      <c r="B882" t="str">
        <f>_xlfn.IFNA(IF(VLOOKUP(A882,MD!$A:$N,3,0) = "-","MEDION","PEAQ"),"")</f>
        <v/>
      </c>
    </row>
    <row r="883" spans="2:2" x14ac:dyDescent="0.2">
      <c r="B883" t="str">
        <f>_xlfn.IFNA(IF(VLOOKUP(A883,MD!$A:$N,3,0) = "-","MEDION","PEAQ"),"")</f>
        <v/>
      </c>
    </row>
    <row r="884" spans="2:2" x14ac:dyDescent="0.2">
      <c r="B884" t="str">
        <f>_xlfn.IFNA(IF(VLOOKUP(A884,MD!$A:$N,3,0) = "-","MEDION","PEAQ"),"")</f>
        <v/>
      </c>
    </row>
    <row r="885" spans="2:2" x14ac:dyDescent="0.2">
      <c r="B885" t="str">
        <f>_xlfn.IFNA(IF(VLOOKUP(A885,MD!$A:$N,3,0) = "-","MEDION","PEAQ"),"")</f>
        <v/>
      </c>
    </row>
    <row r="886" spans="2:2" x14ac:dyDescent="0.2">
      <c r="B886" t="str">
        <f>_xlfn.IFNA(IF(VLOOKUP(A886,MD!$A:$N,3,0) = "-","MEDION","PEAQ"),"")</f>
        <v/>
      </c>
    </row>
    <row r="887" spans="2:2" x14ac:dyDescent="0.2">
      <c r="B887" t="str">
        <f>_xlfn.IFNA(IF(VLOOKUP(A887,MD!$A:$N,3,0) = "-","MEDION","PEAQ"),"")</f>
        <v/>
      </c>
    </row>
    <row r="888" spans="2:2" x14ac:dyDescent="0.2">
      <c r="B888" t="str">
        <f>_xlfn.IFNA(IF(VLOOKUP(A888,MD!$A:$N,3,0) = "-","MEDION","PEAQ"),"")</f>
        <v/>
      </c>
    </row>
    <row r="889" spans="2:2" x14ac:dyDescent="0.2">
      <c r="B889" t="str">
        <f>_xlfn.IFNA(IF(VLOOKUP(A889,MD!$A:$N,3,0) = "-","MEDION","PEAQ"),"")</f>
        <v/>
      </c>
    </row>
    <row r="890" spans="2:2" x14ac:dyDescent="0.2">
      <c r="B890" t="str">
        <f>_xlfn.IFNA(IF(VLOOKUP(A890,MD!$A:$N,3,0) = "-","MEDION","PEAQ"),"")</f>
        <v/>
      </c>
    </row>
    <row r="891" spans="2:2" x14ac:dyDescent="0.2">
      <c r="B891" t="str">
        <f>_xlfn.IFNA(IF(VLOOKUP(A891,MD!$A:$N,3,0) = "-","MEDION","PEAQ"),"")</f>
        <v/>
      </c>
    </row>
    <row r="892" spans="2:2" x14ac:dyDescent="0.2">
      <c r="B892" t="str">
        <f>_xlfn.IFNA(IF(VLOOKUP(A892,MD!$A:$N,3,0) = "-","MEDION","PEAQ"),"")</f>
        <v/>
      </c>
    </row>
    <row r="893" spans="2:2" x14ac:dyDescent="0.2">
      <c r="B893" t="str">
        <f>_xlfn.IFNA(IF(VLOOKUP(A893,MD!$A:$N,3,0) = "-","MEDION","PEAQ"),"")</f>
        <v/>
      </c>
    </row>
    <row r="894" spans="2:2" x14ac:dyDescent="0.2">
      <c r="B894" t="str">
        <f>_xlfn.IFNA(IF(VLOOKUP(A894,MD!$A:$N,3,0) = "-","MEDION","PEAQ"),"")</f>
        <v/>
      </c>
    </row>
    <row r="895" spans="2:2" x14ac:dyDescent="0.2">
      <c r="B895" t="str">
        <f>_xlfn.IFNA(IF(VLOOKUP(A895,MD!$A:$N,3,0) = "-","MEDION","PEAQ"),"")</f>
        <v/>
      </c>
    </row>
    <row r="896" spans="2:2" x14ac:dyDescent="0.2">
      <c r="B896" t="str">
        <f>_xlfn.IFNA(IF(VLOOKUP(A896,MD!$A:$N,3,0) = "-","MEDION","PEAQ"),"")</f>
        <v/>
      </c>
    </row>
    <row r="897" spans="2:2" x14ac:dyDescent="0.2">
      <c r="B897" t="str">
        <f>_xlfn.IFNA(IF(VLOOKUP(A897,MD!$A:$N,3,0) = "-","MEDION","PEAQ"),"")</f>
        <v/>
      </c>
    </row>
    <row r="898" spans="2:2" x14ac:dyDescent="0.2">
      <c r="B898" t="str">
        <f>_xlfn.IFNA(IF(VLOOKUP(A898,MD!$A:$N,3,0) = "-","MEDION","PEAQ"),"")</f>
        <v/>
      </c>
    </row>
    <row r="899" spans="2:2" x14ac:dyDescent="0.2">
      <c r="B899" t="str">
        <f>_xlfn.IFNA(IF(VLOOKUP(A899,MD!$A:$N,3,0) = "-","MEDION","PEAQ"),"")</f>
        <v/>
      </c>
    </row>
    <row r="900" spans="2:2" x14ac:dyDescent="0.2">
      <c r="B900" t="str">
        <f>_xlfn.IFNA(IF(VLOOKUP(A900,MD!$A:$N,3,0) = "-","MEDION","PEAQ"),"")</f>
        <v/>
      </c>
    </row>
    <row r="901" spans="2:2" x14ac:dyDescent="0.2">
      <c r="B901" t="str">
        <f>_xlfn.IFNA(IF(VLOOKUP(A901,MD!$A:$N,3,0) = "-","MEDION","PEAQ"),"")</f>
        <v/>
      </c>
    </row>
    <row r="902" spans="2:2" x14ac:dyDescent="0.2">
      <c r="B902" t="str">
        <f>_xlfn.IFNA(IF(VLOOKUP(A902,MD!$A:$N,3,0) = "-","MEDION","PEAQ"),"")</f>
        <v/>
      </c>
    </row>
    <row r="903" spans="2:2" x14ac:dyDescent="0.2">
      <c r="B903" t="str">
        <f>_xlfn.IFNA(IF(VLOOKUP(A903,MD!$A:$N,3,0) = "-","MEDION","PEAQ"),"")</f>
        <v/>
      </c>
    </row>
    <row r="904" spans="2:2" x14ac:dyDescent="0.2">
      <c r="B904" t="str">
        <f>_xlfn.IFNA(IF(VLOOKUP(A904,MD!$A:$N,3,0) = "-","MEDION","PEAQ"),"")</f>
        <v/>
      </c>
    </row>
    <row r="905" spans="2:2" x14ac:dyDescent="0.2">
      <c r="B905" t="str">
        <f>_xlfn.IFNA(IF(VLOOKUP(A905,MD!$A:$N,3,0) = "-","MEDION","PEAQ"),"")</f>
        <v/>
      </c>
    </row>
    <row r="906" spans="2:2" x14ac:dyDescent="0.2">
      <c r="B906" t="str">
        <f>_xlfn.IFNA(IF(VLOOKUP(A906,MD!$A:$N,3,0) = "-","MEDION","PEAQ"),"")</f>
        <v/>
      </c>
    </row>
    <row r="907" spans="2:2" x14ac:dyDescent="0.2">
      <c r="B907" t="str">
        <f>_xlfn.IFNA(IF(VLOOKUP(A907,MD!$A:$N,3,0) = "-","MEDION","PEAQ"),"")</f>
        <v/>
      </c>
    </row>
    <row r="908" spans="2:2" x14ac:dyDescent="0.2">
      <c r="B908" t="str">
        <f>_xlfn.IFNA(IF(VLOOKUP(A908,MD!$A:$N,3,0) = "-","MEDION","PEAQ"),"")</f>
        <v/>
      </c>
    </row>
    <row r="909" spans="2:2" x14ac:dyDescent="0.2">
      <c r="B909" t="str">
        <f>_xlfn.IFNA(IF(VLOOKUP(A909,MD!$A:$N,3,0) = "-","MEDION","PEAQ"),"")</f>
        <v/>
      </c>
    </row>
    <row r="910" spans="2:2" x14ac:dyDescent="0.2">
      <c r="B910" t="str">
        <f>_xlfn.IFNA(IF(VLOOKUP(A910,MD!$A:$N,3,0) = "-","MEDION","PEAQ"),"")</f>
        <v/>
      </c>
    </row>
    <row r="911" spans="2:2" x14ac:dyDescent="0.2">
      <c r="B911" t="str">
        <f>_xlfn.IFNA(IF(VLOOKUP(A911,MD!$A:$N,3,0) = "-","MEDION","PEAQ"),"")</f>
        <v/>
      </c>
    </row>
    <row r="912" spans="2:2" x14ac:dyDescent="0.2">
      <c r="B912" t="str">
        <f>_xlfn.IFNA(IF(VLOOKUP(A912,MD!$A:$N,3,0) = "-","MEDION","PEAQ"),"")</f>
        <v/>
      </c>
    </row>
    <row r="913" spans="2:2" x14ac:dyDescent="0.2">
      <c r="B913" t="str">
        <f>_xlfn.IFNA(IF(VLOOKUP(A913,MD!$A:$N,3,0) = "-","MEDION","PEAQ"),"")</f>
        <v/>
      </c>
    </row>
    <row r="914" spans="2:2" x14ac:dyDescent="0.2">
      <c r="B914" t="str">
        <f>_xlfn.IFNA(IF(VLOOKUP(A914,MD!$A:$N,3,0) = "-","MEDION","PEAQ"),"")</f>
        <v/>
      </c>
    </row>
    <row r="915" spans="2:2" x14ac:dyDescent="0.2">
      <c r="B915" t="str">
        <f>_xlfn.IFNA(IF(VLOOKUP(A915,MD!$A:$N,3,0) = "-","MEDION","PEAQ"),"")</f>
        <v/>
      </c>
    </row>
    <row r="916" spans="2:2" x14ac:dyDescent="0.2">
      <c r="B916" t="str">
        <f>_xlfn.IFNA(IF(VLOOKUP(A916,MD!$A:$N,3,0) = "-","MEDION","PEAQ"),"")</f>
        <v/>
      </c>
    </row>
    <row r="917" spans="2:2" x14ac:dyDescent="0.2">
      <c r="B917" t="str">
        <f>_xlfn.IFNA(IF(VLOOKUP(A917,MD!$A:$N,3,0) = "-","MEDION","PEAQ"),"")</f>
        <v/>
      </c>
    </row>
    <row r="918" spans="2:2" x14ac:dyDescent="0.2">
      <c r="B918" t="str">
        <f>_xlfn.IFNA(IF(VLOOKUP(A918,MD!$A:$N,3,0) = "-","MEDION","PEAQ"),"")</f>
        <v/>
      </c>
    </row>
    <row r="919" spans="2:2" x14ac:dyDescent="0.2">
      <c r="B919" t="str">
        <f>_xlfn.IFNA(IF(VLOOKUP(A919,MD!$A:$N,3,0) = "-","MEDION","PEAQ"),"")</f>
        <v/>
      </c>
    </row>
    <row r="920" spans="2:2" x14ac:dyDescent="0.2">
      <c r="B920" t="str">
        <f>_xlfn.IFNA(IF(VLOOKUP(A920,MD!$A:$N,3,0) = "-","MEDION","PEAQ"),"")</f>
        <v/>
      </c>
    </row>
    <row r="921" spans="2:2" x14ac:dyDescent="0.2">
      <c r="B921" t="str">
        <f>_xlfn.IFNA(IF(VLOOKUP(A921,MD!$A:$N,3,0) = "-","MEDION","PEAQ"),"")</f>
        <v/>
      </c>
    </row>
    <row r="922" spans="2:2" x14ac:dyDescent="0.2">
      <c r="B922" t="str">
        <f>_xlfn.IFNA(IF(VLOOKUP(A922,MD!$A:$N,3,0) = "-","MEDION","PEAQ"),"")</f>
        <v/>
      </c>
    </row>
    <row r="923" spans="2:2" x14ac:dyDescent="0.2">
      <c r="B923" t="str">
        <f>_xlfn.IFNA(IF(VLOOKUP(A923,MD!$A:$N,3,0) = "-","MEDION","PEAQ"),"")</f>
        <v/>
      </c>
    </row>
    <row r="924" spans="2:2" x14ac:dyDescent="0.2">
      <c r="B924" t="str">
        <f>_xlfn.IFNA(IF(VLOOKUP(A924,MD!$A:$N,3,0) = "-","MEDION","PEAQ"),"")</f>
        <v/>
      </c>
    </row>
    <row r="925" spans="2:2" x14ac:dyDescent="0.2">
      <c r="B925" t="str">
        <f>_xlfn.IFNA(IF(VLOOKUP(A925,MD!$A:$N,3,0) = "-","MEDION","PEAQ"),"")</f>
        <v/>
      </c>
    </row>
    <row r="926" spans="2:2" x14ac:dyDescent="0.2">
      <c r="B926" t="str">
        <f>_xlfn.IFNA(IF(VLOOKUP(A926,MD!$A:$N,3,0) = "-","MEDION","PEAQ"),"")</f>
        <v/>
      </c>
    </row>
  </sheetData>
  <conditionalFormatting sqref="F645">
    <cfRule type="cellIs" dxfId="4" priority="3" operator="equal">
      <formula>"PEAQ"</formula>
    </cfRule>
  </conditionalFormatting>
  <conditionalFormatting sqref="A1:XFD3 RH5:XFD227 C4:XFD4 D5:U17 C228:XFD228 A4:B228 A229:XFD1048576">
    <cfRule type="cellIs" dxfId="3" priority="1" operator="equal">
      <formula>"MEDION"</formula>
    </cfRule>
    <cfRule type="cellIs" dxfId="2" priority="2" operator="equal">
      <formula>"PEAQ"</formula>
    </cfRule>
  </conditionalFormatting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B51"/>
  <sheetViews>
    <sheetView workbookViewId="0"/>
  </sheetViews>
  <sheetFormatPr defaultRowHeight="12.75" x14ac:dyDescent="0.2"/>
  <cols>
    <col min="2" max="2" width="40.28515625" bestFit="1" customWidth="1"/>
  </cols>
  <sheetData>
    <row r="1" spans="1:2" ht="13.5" thickBot="1" x14ac:dyDescent="0.25">
      <c r="A1" s="3">
        <v>30021043</v>
      </c>
      <c r="B1" s="48" t="s">
        <v>256</v>
      </c>
    </row>
    <row r="2" spans="1:2" ht="13.5" thickBot="1" x14ac:dyDescent="0.25">
      <c r="A2" s="3">
        <v>30021030</v>
      </c>
      <c r="B2" s="48" t="s">
        <v>256</v>
      </c>
    </row>
    <row r="3" spans="1:2" ht="13.5" thickBot="1" x14ac:dyDescent="0.25">
      <c r="A3" s="3">
        <v>30021041</v>
      </c>
      <c r="B3" s="48" t="s">
        <v>256</v>
      </c>
    </row>
    <row r="4" spans="1:2" ht="13.5" thickBot="1" x14ac:dyDescent="0.25">
      <c r="A4" s="5">
        <v>30021007</v>
      </c>
      <c r="B4" s="48" t="s">
        <v>256</v>
      </c>
    </row>
    <row r="5" spans="1:2" ht="13.5" thickBot="1" x14ac:dyDescent="0.25">
      <c r="A5" s="53">
        <v>30021054</v>
      </c>
      <c r="B5" s="48" t="s">
        <v>256</v>
      </c>
    </row>
    <row r="6" spans="1:2" ht="13.5" thickBot="1" x14ac:dyDescent="0.25">
      <c r="A6" s="3">
        <v>30021096</v>
      </c>
      <c r="B6" s="48" t="s">
        <v>256</v>
      </c>
    </row>
    <row r="7" spans="1:2" ht="13.5" thickBot="1" x14ac:dyDescent="0.25">
      <c r="A7" s="54">
        <v>30021036</v>
      </c>
      <c r="B7" s="48" t="s">
        <v>256</v>
      </c>
    </row>
    <row r="8" spans="1:2" ht="13.5" thickBot="1" x14ac:dyDescent="0.25">
      <c r="A8" s="3">
        <v>30021078</v>
      </c>
      <c r="B8" s="48" t="s">
        <v>256</v>
      </c>
    </row>
    <row r="9" spans="1:2" ht="13.5" thickBot="1" x14ac:dyDescent="0.25">
      <c r="A9" s="3">
        <v>30021084</v>
      </c>
      <c r="B9" s="48" t="s">
        <v>256</v>
      </c>
    </row>
    <row r="10" spans="1:2" ht="13.5" thickBot="1" x14ac:dyDescent="0.25">
      <c r="A10" s="3">
        <v>30021072</v>
      </c>
      <c r="B10" s="48" t="s">
        <v>256</v>
      </c>
    </row>
    <row r="11" spans="1:2" ht="13.5" thickBot="1" x14ac:dyDescent="0.25">
      <c r="A11" s="3">
        <v>30021058</v>
      </c>
      <c r="B11" s="48" t="s">
        <v>256</v>
      </c>
    </row>
    <row r="12" spans="1:2" ht="13.5" thickBot="1" x14ac:dyDescent="0.25">
      <c r="A12" s="3">
        <v>30021057</v>
      </c>
      <c r="B12" s="48" t="s">
        <v>256</v>
      </c>
    </row>
    <row r="13" spans="1:2" ht="13.5" thickBot="1" x14ac:dyDescent="0.25">
      <c r="A13" s="3">
        <v>30021103</v>
      </c>
      <c r="B13" s="48" t="s">
        <v>256</v>
      </c>
    </row>
    <row r="14" spans="1:2" ht="13.5" thickBot="1" x14ac:dyDescent="0.25">
      <c r="A14" s="3">
        <v>30022969</v>
      </c>
      <c r="B14" s="48" t="s">
        <v>256</v>
      </c>
    </row>
    <row r="15" spans="1:2" ht="13.5" thickBot="1" x14ac:dyDescent="0.25">
      <c r="A15" s="3">
        <v>30023002</v>
      </c>
      <c r="B15" s="48" t="s">
        <v>256</v>
      </c>
    </row>
    <row r="16" spans="1:2" ht="13.5" thickBot="1" x14ac:dyDescent="0.25">
      <c r="A16" s="3">
        <v>30021031</v>
      </c>
      <c r="B16" s="48" t="s">
        <v>256</v>
      </c>
    </row>
    <row r="17" spans="1:2" ht="13.5" thickBot="1" x14ac:dyDescent="0.25">
      <c r="A17" s="3">
        <v>30023003</v>
      </c>
      <c r="B17" s="48" t="s">
        <v>256</v>
      </c>
    </row>
    <row r="18" spans="1:2" ht="13.5" thickBot="1" x14ac:dyDescent="0.25">
      <c r="A18" s="3">
        <v>30023713</v>
      </c>
      <c r="B18" s="48" t="s">
        <v>256</v>
      </c>
    </row>
    <row r="19" spans="1:2" x14ac:dyDescent="0.2">
      <c r="A19" s="3">
        <v>30022188</v>
      </c>
      <c r="B19" s="2" t="s">
        <v>320</v>
      </c>
    </row>
    <row r="20" spans="1:2" x14ac:dyDescent="0.2">
      <c r="A20" s="3">
        <v>30022775</v>
      </c>
      <c r="B20" s="2" t="s">
        <v>320</v>
      </c>
    </row>
    <row r="21" spans="1:2" ht="15" x14ac:dyDescent="0.2">
      <c r="A21" s="50">
        <v>30022666</v>
      </c>
      <c r="B21" s="2" t="s">
        <v>320</v>
      </c>
    </row>
    <row r="22" spans="1:2" x14ac:dyDescent="0.2">
      <c r="A22" s="3">
        <v>30023448</v>
      </c>
      <c r="B22" s="2" t="s">
        <v>320</v>
      </c>
    </row>
    <row r="23" spans="1:2" x14ac:dyDescent="0.2">
      <c r="A23" s="3">
        <v>30022769</v>
      </c>
      <c r="B23" s="2" t="s">
        <v>320</v>
      </c>
    </row>
    <row r="24" spans="1:2" x14ac:dyDescent="0.2">
      <c r="A24" s="6">
        <v>30020735</v>
      </c>
      <c r="B24" s="2" t="s">
        <v>320</v>
      </c>
    </row>
    <row r="25" spans="1:2" x14ac:dyDescent="0.2">
      <c r="A25" s="3">
        <v>30018939</v>
      </c>
      <c r="B25" s="2" t="s">
        <v>320</v>
      </c>
    </row>
    <row r="26" spans="1:2" x14ac:dyDescent="0.2">
      <c r="A26" s="1">
        <v>30021203</v>
      </c>
      <c r="B26" s="2" t="s">
        <v>320</v>
      </c>
    </row>
    <row r="27" spans="1:2" x14ac:dyDescent="0.2">
      <c r="A27" s="4">
        <v>30020335</v>
      </c>
      <c r="B27" s="2" t="s">
        <v>320</v>
      </c>
    </row>
    <row r="28" spans="1:2" x14ac:dyDescent="0.2">
      <c r="A28" s="4">
        <v>30019990</v>
      </c>
      <c r="B28" s="2" t="s">
        <v>320</v>
      </c>
    </row>
    <row r="29" spans="1:2" x14ac:dyDescent="0.2">
      <c r="A29" s="4">
        <v>30019224</v>
      </c>
      <c r="B29" s="2" t="s">
        <v>320</v>
      </c>
    </row>
    <row r="30" spans="1:2" x14ac:dyDescent="0.2">
      <c r="A30" s="51">
        <v>30019718</v>
      </c>
      <c r="B30" s="2" t="s">
        <v>320</v>
      </c>
    </row>
    <row r="31" spans="1:2" x14ac:dyDescent="0.2">
      <c r="A31" s="4">
        <v>30019730</v>
      </c>
      <c r="B31" s="2" t="s">
        <v>320</v>
      </c>
    </row>
    <row r="32" spans="1:2" x14ac:dyDescent="0.2">
      <c r="A32" s="4">
        <v>30019991</v>
      </c>
      <c r="B32" s="2" t="s">
        <v>320</v>
      </c>
    </row>
    <row r="33" spans="1:2" x14ac:dyDescent="0.2">
      <c r="A33" s="1">
        <v>30019993</v>
      </c>
      <c r="B33" s="2" t="s">
        <v>320</v>
      </c>
    </row>
    <row r="34" spans="1:2" x14ac:dyDescent="0.2">
      <c r="A34" s="1">
        <v>30020398</v>
      </c>
      <c r="B34" s="2" t="s">
        <v>320</v>
      </c>
    </row>
    <row r="35" spans="1:2" x14ac:dyDescent="0.2">
      <c r="A35" s="4">
        <v>30020536</v>
      </c>
      <c r="B35" s="2" t="s">
        <v>320</v>
      </c>
    </row>
    <row r="36" spans="1:2" x14ac:dyDescent="0.2">
      <c r="A36" s="4">
        <v>30022772</v>
      </c>
      <c r="B36" s="2" t="s">
        <v>320</v>
      </c>
    </row>
    <row r="37" spans="1:2" x14ac:dyDescent="0.2">
      <c r="A37" s="4">
        <v>30020746</v>
      </c>
      <c r="B37" s="2" t="s">
        <v>320</v>
      </c>
    </row>
    <row r="38" spans="1:2" x14ac:dyDescent="0.2">
      <c r="A38" s="3">
        <v>30022778</v>
      </c>
      <c r="B38" s="2" t="s">
        <v>320</v>
      </c>
    </row>
    <row r="39" spans="1:2" x14ac:dyDescent="0.2">
      <c r="A39" s="3">
        <v>30022186</v>
      </c>
      <c r="B39" s="2" t="s">
        <v>320</v>
      </c>
    </row>
    <row r="40" spans="1:2" x14ac:dyDescent="0.2">
      <c r="A40" s="3">
        <v>30021126</v>
      </c>
      <c r="B40" s="2" t="s">
        <v>320</v>
      </c>
    </row>
    <row r="41" spans="1:2" x14ac:dyDescent="0.2">
      <c r="A41" s="3">
        <v>30023166</v>
      </c>
      <c r="B41" s="2" t="s">
        <v>320</v>
      </c>
    </row>
    <row r="42" spans="1:2" x14ac:dyDescent="0.2">
      <c r="A42" s="3">
        <v>30021602</v>
      </c>
      <c r="B42" s="2" t="s">
        <v>320</v>
      </c>
    </row>
    <row r="43" spans="1:2" x14ac:dyDescent="0.2">
      <c r="A43" s="3">
        <v>30022226</v>
      </c>
      <c r="B43" s="2" t="s">
        <v>320</v>
      </c>
    </row>
    <row r="44" spans="1:2" x14ac:dyDescent="0.2">
      <c r="A44" s="3">
        <v>30022005</v>
      </c>
      <c r="B44" s="2" t="s">
        <v>320</v>
      </c>
    </row>
    <row r="45" spans="1:2" x14ac:dyDescent="0.2">
      <c r="A45" s="3">
        <v>30021827</v>
      </c>
      <c r="B45" s="2" t="s">
        <v>320</v>
      </c>
    </row>
    <row r="46" spans="1:2" x14ac:dyDescent="0.2">
      <c r="A46" s="3">
        <v>30022227</v>
      </c>
      <c r="B46" s="2" t="s">
        <v>320</v>
      </c>
    </row>
    <row r="47" spans="1:2" x14ac:dyDescent="0.2">
      <c r="A47" s="3">
        <v>30022006</v>
      </c>
      <c r="B47" s="2" t="s">
        <v>320</v>
      </c>
    </row>
    <row r="48" spans="1:2" x14ac:dyDescent="0.2">
      <c r="A48" s="3">
        <v>30022551</v>
      </c>
      <c r="B48" s="2" t="s">
        <v>320</v>
      </c>
    </row>
    <row r="49" spans="1:2" x14ac:dyDescent="0.2">
      <c r="A49" s="52">
        <v>30022790</v>
      </c>
      <c r="B49" s="2" t="s">
        <v>320</v>
      </c>
    </row>
    <row r="50" spans="1:2" x14ac:dyDescent="0.2">
      <c r="A50">
        <v>30022794</v>
      </c>
      <c r="B50" s="2" t="s">
        <v>320</v>
      </c>
    </row>
    <row r="51" spans="1:2" x14ac:dyDescent="0.2">
      <c r="A51" s="3">
        <v>30023743</v>
      </c>
      <c r="B51" s="2" t="s">
        <v>320</v>
      </c>
    </row>
  </sheetData>
  <pageMargins left="0.7" right="0.7" top="0.75" bottom="0.75" header="0.3" footer="0.3"/>
  <pageSetup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B1"/>
  <sheetViews>
    <sheetView workbookViewId="0"/>
  </sheetViews>
  <sheetFormatPr defaultRowHeight="12.75" x14ac:dyDescent="0.2"/>
  <cols>
    <col min="1" max="1" width="9.7109375" customWidth="1"/>
    <col min="2" max="2" width="6.28515625" customWidth="1"/>
  </cols>
  <sheetData>
    <row r="1" spans="1:2" x14ac:dyDescent="0.2">
      <c r="A1" s="13" t="s">
        <v>696</v>
      </c>
      <c r="B1" s="173" t="s">
        <v>509</v>
      </c>
    </row>
  </sheetData>
  <pageMargins left="0.23622047244094491" right="0.23622047244094491" top="0.74803149606299213" bottom="0.74803149606299213" header="0.31496062992125984" footer="0.31496062992125984"/>
  <pageSetup paperSize="9" orientation="portrait" horizontalDpi="1200" verticalDpi="1200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15"/>
  <sheetViews>
    <sheetView workbookViewId="0"/>
  </sheetViews>
  <sheetFormatPr defaultRowHeight="12.75" x14ac:dyDescent="0.2"/>
  <cols>
    <col min="1" max="1" width="17.85546875" bestFit="1" customWidth="1"/>
    <col min="2" max="2" width="6.28515625" customWidth="1"/>
  </cols>
  <sheetData>
    <row r="1" spans="1:2" x14ac:dyDescent="0.2">
      <c r="A1" s="13" t="s">
        <v>506</v>
      </c>
      <c r="B1" t="s">
        <v>509</v>
      </c>
    </row>
    <row r="3" spans="1:2" x14ac:dyDescent="0.2">
      <c r="A3" s="13" t="s">
        <v>128</v>
      </c>
    </row>
    <row r="4" spans="1:2" x14ac:dyDescent="0.2">
      <c r="A4" s="14">
        <v>60152</v>
      </c>
    </row>
    <row r="5" spans="1:2" x14ac:dyDescent="0.2">
      <c r="A5" s="14">
        <v>99096</v>
      </c>
    </row>
    <row r="6" spans="1:2" x14ac:dyDescent="0.2">
      <c r="A6" s="14">
        <v>99097</v>
      </c>
    </row>
    <row r="7" spans="1:2" x14ac:dyDescent="0.2">
      <c r="A7" s="14">
        <v>99188</v>
      </c>
    </row>
    <row r="8" spans="1:2" x14ac:dyDescent="0.2">
      <c r="A8" s="14">
        <v>99306</v>
      </c>
    </row>
    <row r="9" spans="1:2" x14ac:dyDescent="0.2">
      <c r="A9" s="14">
        <v>99307</v>
      </c>
    </row>
    <row r="10" spans="1:2" x14ac:dyDescent="0.2">
      <c r="A10" s="14">
        <v>99309</v>
      </c>
    </row>
    <row r="11" spans="1:2" x14ac:dyDescent="0.2">
      <c r="A11" s="14">
        <v>99464</v>
      </c>
    </row>
    <row r="12" spans="1:2" x14ac:dyDescent="0.2">
      <c r="A12" s="14">
        <v>99467</v>
      </c>
    </row>
    <row r="13" spans="1:2" x14ac:dyDescent="0.2">
      <c r="A13" s="14">
        <v>99673</v>
      </c>
    </row>
    <row r="14" spans="1:2" x14ac:dyDescent="0.2">
      <c r="A14" s="14">
        <v>99911</v>
      </c>
    </row>
    <row r="15" spans="1:2" x14ac:dyDescent="0.2">
      <c r="A15" s="14" t="s">
        <v>130</v>
      </c>
    </row>
  </sheetData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G53"/>
  <sheetViews>
    <sheetView workbookViewId="0"/>
  </sheetViews>
  <sheetFormatPr defaultRowHeight="14.25" x14ac:dyDescent="0.2"/>
  <cols>
    <col min="1" max="1" width="22" style="56" customWidth="1"/>
    <col min="2" max="2" width="4.7109375" style="56" customWidth="1"/>
    <col min="3" max="3" width="22" style="56" customWidth="1"/>
    <col min="4" max="4" width="4.7109375" style="56" customWidth="1"/>
    <col min="5" max="5" width="22" style="56" customWidth="1"/>
    <col min="6" max="6" width="4.7109375" style="56" customWidth="1"/>
    <col min="7" max="7" width="22" style="56" customWidth="1"/>
    <col min="8" max="8" width="4.7109375" style="56" customWidth="1"/>
    <col min="9" max="9" width="13" style="56" customWidth="1"/>
    <col min="10" max="16384" width="9.140625" style="56"/>
  </cols>
  <sheetData>
    <row r="1" spans="1:7" ht="15" x14ac:dyDescent="0.25">
      <c r="A1" s="55" t="s">
        <v>401</v>
      </c>
      <c r="C1" s="57" t="s">
        <v>381</v>
      </c>
      <c r="E1" s="57" t="s">
        <v>460</v>
      </c>
      <c r="G1" s="58" t="s">
        <v>530</v>
      </c>
    </row>
    <row r="2" spans="1:7" ht="15" x14ac:dyDescent="0.25">
      <c r="A2" s="59" t="s">
        <v>504</v>
      </c>
      <c r="C2" s="60">
        <v>60196</v>
      </c>
      <c r="E2" s="60">
        <v>60007</v>
      </c>
      <c r="G2" s="61">
        <v>60152</v>
      </c>
    </row>
    <row r="3" spans="1:7" x14ac:dyDescent="0.2">
      <c r="A3" s="57" t="s">
        <v>389</v>
      </c>
      <c r="C3" s="60">
        <v>60383</v>
      </c>
      <c r="E3" s="60">
        <v>99857</v>
      </c>
      <c r="G3" s="61">
        <v>99096</v>
      </c>
    </row>
    <row r="4" spans="1:7" x14ac:dyDescent="0.2">
      <c r="A4" s="60">
        <v>99973</v>
      </c>
      <c r="C4" s="60">
        <v>99746</v>
      </c>
      <c r="E4" s="60">
        <v>99859</v>
      </c>
      <c r="G4" s="61">
        <v>99097</v>
      </c>
    </row>
    <row r="5" spans="1:7" ht="15" x14ac:dyDescent="0.25">
      <c r="A5" s="59" t="s">
        <v>129</v>
      </c>
      <c r="C5" s="60">
        <v>99841</v>
      </c>
      <c r="E5" s="57" t="s">
        <v>487</v>
      </c>
      <c r="G5" s="61">
        <v>99188</v>
      </c>
    </row>
    <row r="6" spans="1:7" x14ac:dyDescent="0.2">
      <c r="A6" s="57" t="s">
        <v>389</v>
      </c>
      <c r="C6" s="60">
        <v>99871</v>
      </c>
      <c r="E6" s="60">
        <v>99650</v>
      </c>
      <c r="G6" s="61">
        <v>99306</v>
      </c>
    </row>
    <row r="7" spans="1:7" ht="15" x14ac:dyDescent="0.25">
      <c r="A7" s="60">
        <v>99597</v>
      </c>
      <c r="C7" s="59" t="s">
        <v>480</v>
      </c>
      <c r="E7" s="59" t="s">
        <v>383</v>
      </c>
      <c r="G7" s="61">
        <v>99307</v>
      </c>
    </row>
    <row r="8" spans="1:7" x14ac:dyDescent="0.2">
      <c r="A8" s="60">
        <v>99832</v>
      </c>
      <c r="C8" s="57" t="s">
        <v>479</v>
      </c>
      <c r="E8" s="57" t="s">
        <v>387</v>
      </c>
      <c r="G8" s="61">
        <v>99309</v>
      </c>
    </row>
    <row r="9" spans="1:7" ht="15" x14ac:dyDescent="0.25">
      <c r="A9" s="55" t="s">
        <v>412</v>
      </c>
      <c r="C9" s="60">
        <v>99710</v>
      </c>
      <c r="E9" s="60">
        <v>60219</v>
      </c>
      <c r="G9" s="61">
        <v>99464</v>
      </c>
    </row>
    <row r="10" spans="1:7" ht="15" x14ac:dyDescent="0.25">
      <c r="A10" s="59" t="s">
        <v>443</v>
      </c>
      <c r="C10" s="59" t="s">
        <v>482</v>
      </c>
      <c r="E10" s="60">
        <v>60257</v>
      </c>
      <c r="G10" s="61">
        <v>99467</v>
      </c>
    </row>
    <row r="11" spans="1:7" x14ac:dyDescent="0.2">
      <c r="A11" s="57" t="s">
        <v>444</v>
      </c>
      <c r="C11" s="57" t="s">
        <v>481</v>
      </c>
      <c r="E11" s="60">
        <v>60423</v>
      </c>
      <c r="G11" s="61">
        <v>99673</v>
      </c>
    </row>
    <row r="12" spans="1:7" ht="15" x14ac:dyDescent="0.25">
      <c r="A12" s="60">
        <v>99313</v>
      </c>
      <c r="C12" s="60">
        <v>99371</v>
      </c>
      <c r="E12" s="59" t="s">
        <v>374</v>
      </c>
      <c r="G12" s="61">
        <v>99911</v>
      </c>
    </row>
    <row r="13" spans="1:7" ht="15" x14ac:dyDescent="0.25">
      <c r="A13" s="59" t="s">
        <v>390</v>
      </c>
      <c r="C13" s="60">
        <v>99460</v>
      </c>
      <c r="E13" s="57" t="s">
        <v>375</v>
      </c>
    </row>
    <row r="14" spans="1:7" x14ac:dyDescent="0.2">
      <c r="A14" s="57" t="s">
        <v>391</v>
      </c>
      <c r="C14" s="60">
        <v>99585</v>
      </c>
      <c r="E14" s="60">
        <v>98926</v>
      </c>
    </row>
    <row r="15" spans="1:7" x14ac:dyDescent="0.2">
      <c r="A15" s="60">
        <v>99713</v>
      </c>
      <c r="C15" s="60">
        <v>99640</v>
      </c>
      <c r="E15" s="57" t="s">
        <v>373</v>
      </c>
    </row>
    <row r="16" spans="1:7" ht="15" x14ac:dyDescent="0.25">
      <c r="A16" s="59" t="s">
        <v>446</v>
      </c>
      <c r="C16" s="57" t="s">
        <v>483</v>
      </c>
      <c r="E16" s="60">
        <v>98924</v>
      </c>
    </row>
    <row r="17" spans="1:5" x14ac:dyDescent="0.2">
      <c r="A17" s="57" t="s">
        <v>444</v>
      </c>
      <c r="C17" s="60">
        <v>99377</v>
      </c>
      <c r="E17" s="60">
        <v>98925</v>
      </c>
    </row>
    <row r="18" spans="1:5" x14ac:dyDescent="0.2">
      <c r="A18" s="60">
        <v>99372</v>
      </c>
      <c r="C18" s="60">
        <v>99490</v>
      </c>
      <c r="E18" s="60">
        <v>98927</v>
      </c>
    </row>
    <row r="19" spans="1:5" x14ac:dyDescent="0.2">
      <c r="A19" s="60">
        <v>99450</v>
      </c>
      <c r="C19" s="57" t="s">
        <v>503</v>
      </c>
      <c r="E19" s="60">
        <v>99349</v>
      </c>
    </row>
    <row r="20" spans="1:5" ht="15" x14ac:dyDescent="0.25">
      <c r="A20" s="59" t="s">
        <v>422</v>
      </c>
      <c r="C20" s="60">
        <v>99903</v>
      </c>
      <c r="E20" s="57" t="s">
        <v>379</v>
      </c>
    </row>
    <row r="21" spans="1:5" x14ac:dyDescent="0.2">
      <c r="A21" s="57" t="s">
        <v>421</v>
      </c>
      <c r="C21" s="57" t="s">
        <v>129</v>
      </c>
      <c r="E21" s="60">
        <v>99089</v>
      </c>
    </row>
    <row r="22" spans="1:5" x14ac:dyDescent="0.2">
      <c r="A22" s="60">
        <v>60178</v>
      </c>
      <c r="C22" s="60">
        <v>99554</v>
      </c>
      <c r="E22" s="60">
        <v>99316</v>
      </c>
    </row>
    <row r="23" spans="1:5" ht="15" x14ac:dyDescent="0.25">
      <c r="A23" s="57" t="s">
        <v>391</v>
      </c>
      <c r="C23" s="59" t="s">
        <v>419</v>
      </c>
      <c r="E23" s="60">
        <v>99373</v>
      </c>
    </row>
    <row r="24" spans="1:5" x14ac:dyDescent="0.2">
      <c r="A24" s="60">
        <v>99495</v>
      </c>
      <c r="C24" s="57" t="s">
        <v>500</v>
      </c>
      <c r="E24" s="60">
        <v>99430</v>
      </c>
    </row>
    <row r="25" spans="1:5" x14ac:dyDescent="0.2">
      <c r="A25" s="60">
        <v>99499</v>
      </c>
      <c r="C25" s="60">
        <v>60444</v>
      </c>
      <c r="E25" s="60">
        <v>99480</v>
      </c>
    </row>
    <row r="26" spans="1:5" ht="15" x14ac:dyDescent="0.25">
      <c r="A26" s="60">
        <v>99530</v>
      </c>
      <c r="C26" s="57" t="s">
        <v>418</v>
      </c>
      <c r="E26" s="59" t="s">
        <v>429</v>
      </c>
    </row>
    <row r="27" spans="1:5" x14ac:dyDescent="0.2">
      <c r="A27" s="60">
        <v>99540</v>
      </c>
      <c r="C27" s="60">
        <v>60150</v>
      </c>
      <c r="E27" s="57" t="s">
        <v>428</v>
      </c>
    </row>
    <row r="28" spans="1:5" x14ac:dyDescent="0.2">
      <c r="A28" s="60">
        <v>99544</v>
      </c>
      <c r="C28" s="60">
        <v>60650</v>
      </c>
      <c r="E28" s="60">
        <v>98842</v>
      </c>
    </row>
    <row r="29" spans="1:5" x14ac:dyDescent="0.2">
      <c r="A29" s="60">
        <v>99560</v>
      </c>
      <c r="C29" s="60">
        <v>60350</v>
      </c>
      <c r="E29" s="60">
        <v>98882</v>
      </c>
    </row>
    <row r="30" spans="1:5" ht="15" x14ac:dyDescent="0.25">
      <c r="A30" s="60">
        <v>99580</v>
      </c>
      <c r="C30" s="57" t="s">
        <v>492</v>
      </c>
      <c r="E30" s="59" t="s">
        <v>425</v>
      </c>
    </row>
    <row r="31" spans="1:5" x14ac:dyDescent="0.2">
      <c r="A31" s="60">
        <v>99610</v>
      </c>
      <c r="C31" s="60">
        <v>99980</v>
      </c>
      <c r="E31" s="57" t="s">
        <v>424</v>
      </c>
    </row>
    <row r="32" spans="1:5" x14ac:dyDescent="0.2">
      <c r="A32" s="60">
        <v>99670</v>
      </c>
      <c r="C32" s="57" t="s">
        <v>524</v>
      </c>
      <c r="E32" s="60">
        <v>98716</v>
      </c>
    </row>
    <row r="33" spans="1:5" x14ac:dyDescent="0.2">
      <c r="A33" s="57" t="s">
        <v>452</v>
      </c>
      <c r="C33" s="60">
        <v>60328</v>
      </c>
      <c r="E33" s="60">
        <v>98878</v>
      </c>
    </row>
    <row r="34" spans="1:5" x14ac:dyDescent="0.2">
      <c r="A34" s="60">
        <v>99620</v>
      </c>
      <c r="C34" s="60">
        <v>60437</v>
      </c>
      <c r="E34" s="57" t="s">
        <v>445</v>
      </c>
    </row>
    <row r="35" spans="1:5" ht="15" x14ac:dyDescent="0.25">
      <c r="A35" s="57" t="s">
        <v>451</v>
      </c>
      <c r="C35" s="59" t="s">
        <v>461</v>
      </c>
      <c r="E35" s="60">
        <v>99317</v>
      </c>
    </row>
    <row r="36" spans="1:5" x14ac:dyDescent="0.2">
      <c r="A36" s="60">
        <v>99615</v>
      </c>
      <c r="C36" s="57" t="s">
        <v>462</v>
      </c>
      <c r="E36" s="60">
        <v>99374</v>
      </c>
    </row>
    <row r="37" spans="1:5" ht="15" x14ac:dyDescent="0.25">
      <c r="A37" s="59" t="s">
        <v>386</v>
      </c>
      <c r="C37" s="60">
        <v>60025</v>
      </c>
      <c r="E37" s="60">
        <v>99380</v>
      </c>
    </row>
    <row r="38" spans="1:5" x14ac:dyDescent="0.2">
      <c r="A38" s="57" t="s">
        <v>420</v>
      </c>
      <c r="C38" s="57" t="s">
        <v>479</v>
      </c>
      <c r="E38" s="60">
        <v>99381</v>
      </c>
    </row>
    <row r="39" spans="1:5" x14ac:dyDescent="0.2">
      <c r="A39" s="60">
        <v>60172</v>
      </c>
      <c r="C39" s="60">
        <v>99830</v>
      </c>
      <c r="E39" s="60">
        <v>99440</v>
      </c>
    </row>
    <row r="40" spans="1:5" x14ac:dyDescent="0.2">
      <c r="A40" s="60">
        <v>99863</v>
      </c>
      <c r="C40" s="60">
        <v>99890</v>
      </c>
    </row>
    <row r="41" spans="1:5" x14ac:dyDescent="0.2">
      <c r="A41" s="60">
        <v>99949</v>
      </c>
      <c r="C41" s="57" t="s">
        <v>464</v>
      </c>
    </row>
    <row r="42" spans="1:5" x14ac:dyDescent="0.2">
      <c r="A42" s="57" t="s">
        <v>453</v>
      </c>
      <c r="C42" s="60">
        <v>60092</v>
      </c>
    </row>
    <row r="43" spans="1:5" x14ac:dyDescent="0.2">
      <c r="A43" s="60">
        <v>99680</v>
      </c>
      <c r="C43" s="57" t="s">
        <v>491</v>
      </c>
    </row>
    <row r="44" spans="1:5" x14ac:dyDescent="0.2">
      <c r="A44" s="60">
        <v>99880</v>
      </c>
      <c r="C44" s="60">
        <v>99920</v>
      </c>
    </row>
    <row r="45" spans="1:5" x14ac:dyDescent="0.2">
      <c r="A45" s="60">
        <v>99898</v>
      </c>
      <c r="C45" s="57" t="s">
        <v>490</v>
      </c>
    </row>
    <row r="46" spans="1:5" x14ac:dyDescent="0.2">
      <c r="A46" s="57" t="s">
        <v>455</v>
      </c>
      <c r="C46" s="60">
        <v>99901</v>
      </c>
    </row>
    <row r="47" spans="1:5" x14ac:dyDescent="0.2">
      <c r="A47" s="60">
        <v>99850</v>
      </c>
      <c r="C47" s="57" t="s">
        <v>463</v>
      </c>
    </row>
    <row r="48" spans="1:5" x14ac:dyDescent="0.2">
      <c r="A48" s="57" t="s">
        <v>456</v>
      </c>
      <c r="C48" s="60">
        <v>60091</v>
      </c>
    </row>
    <row r="49" spans="1:3" x14ac:dyDescent="0.2">
      <c r="A49" s="60">
        <v>99867</v>
      </c>
      <c r="C49" s="60">
        <v>60093</v>
      </c>
    </row>
    <row r="50" spans="1:3" x14ac:dyDescent="0.2">
      <c r="A50" s="60">
        <v>99868</v>
      </c>
      <c r="C50" s="60">
        <v>60094</v>
      </c>
    </row>
    <row r="51" spans="1:3" x14ac:dyDescent="0.2">
      <c r="A51" s="60">
        <v>99869</v>
      </c>
      <c r="C51" s="60">
        <v>99854</v>
      </c>
    </row>
    <row r="52" spans="1:3" x14ac:dyDescent="0.2">
      <c r="A52" s="57" t="s">
        <v>454</v>
      </c>
      <c r="C52" s="60">
        <v>99855</v>
      </c>
    </row>
    <row r="53" spans="1:3" x14ac:dyDescent="0.2">
      <c r="A53" s="60">
        <v>99790</v>
      </c>
      <c r="C53" s="60">
        <v>99856</v>
      </c>
    </row>
  </sheetData>
  <pageMargins left="0.7" right="0.7" top="0.75" bottom="0.75" header="0.3" footer="0.3"/>
  <pageSetup scale="9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K39"/>
  <sheetViews>
    <sheetView workbookViewId="0"/>
  </sheetViews>
  <sheetFormatPr defaultRowHeight="12.75" x14ac:dyDescent="0.2"/>
  <cols>
    <col min="2" max="2" width="32.140625" bestFit="1" customWidth="1"/>
    <col min="6" max="6" width="34.85546875" bestFit="1" customWidth="1"/>
    <col min="10" max="10" width="26.85546875" bestFit="1" customWidth="1"/>
  </cols>
  <sheetData>
    <row r="1" spans="1:11" x14ac:dyDescent="0.2">
      <c r="A1" t="s">
        <v>0</v>
      </c>
      <c r="B1" t="s">
        <v>140</v>
      </c>
      <c r="C1" t="s">
        <v>258</v>
      </c>
      <c r="E1" t="s">
        <v>0</v>
      </c>
      <c r="F1" t="s">
        <v>140</v>
      </c>
      <c r="G1" t="s">
        <v>258</v>
      </c>
      <c r="I1" t="s">
        <v>0</v>
      </c>
      <c r="J1" t="s">
        <v>140</v>
      </c>
      <c r="K1" t="s">
        <v>258</v>
      </c>
    </row>
    <row r="2" spans="1:11" x14ac:dyDescent="0.2">
      <c r="A2">
        <v>30022660</v>
      </c>
      <c r="B2" t="s">
        <v>259</v>
      </c>
      <c r="C2">
        <v>1</v>
      </c>
      <c r="E2">
        <v>30017939</v>
      </c>
      <c r="F2" t="s">
        <v>303</v>
      </c>
      <c r="G2">
        <v>2</v>
      </c>
      <c r="I2">
        <v>30019354</v>
      </c>
      <c r="J2" t="s">
        <v>315</v>
      </c>
      <c r="K2">
        <v>3</v>
      </c>
    </row>
    <row r="3" spans="1:11" x14ac:dyDescent="0.2">
      <c r="A3">
        <v>30022319</v>
      </c>
      <c r="B3" t="s">
        <v>262</v>
      </c>
      <c r="C3">
        <v>1</v>
      </c>
      <c r="E3">
        <v>30018970</v>
      </c>
      <c r="F3" t="s">
        <v>308</v>
      </c>
      <c r="G3">
        <v>2</v>
      </c>
      <c r="I3">
        <v>30020998</v>
      </c>
      <c r="J3" t="s">
        <v>269</v>
      </c>
      <c r="K3">
        <v>3</v>
      </c>
    </row>
    <row r="4" spans="1:11" x14ac:dyDescent="0.2">
      <c r="A4" t="s">
        <v>265</v>
      </c>
      <c r="B4" t="s">
        <v>266</v>
      </c>
      <c r="C4">
        <v>1</v>
      </c>
      <c r="E4">
        <v>30020997</v>
      </c>
      <c r="F4" t="s">
        <v>291</v>
      </c>
      <c r="G4">
        <v>2</v>
      </c>
      <c r="I4">
        <v>30021124</v>
      </c>
      <c r="J4" t="s">
        <v>302</v>
      </c>
      <c r="K4">
        <v>3</v>
      </c>
    </row>
    <row r="5" spans="1:11" x14ac:dyDescent="0.2">
      <c r="A5" t="s">
        <v>268</v>
      </c>
      <c r="B5" t="s">
        <v>269</v>
      </c>
      <c r="C5">
        <v>1</v>
      </c>
      <c r="E5">
        <v>30021004</v>
      </c>
      <c r="F5" t="s">
        <v>298</v>
      </c>
      <c r="G5">
        <v>2</v>
      </c>
      <c r="I5">
        <v>30022638</v>
      </c>
      <c r="J5" t="s">
        <v>299</v>
      </c>
      <c r="K5">
        <v>3</v>
      </c>
    </row>
    <row r="6" spans="1:11" x14ac:dyDescent="0.2">
      <c r="A6">
        <v>30021048</v>
      </c>
      <c r="B6" t="s">
        <v>271</v>
      </c>
      <c r="C6">
        <v>1</v>
      </c>
      <c r="E6">
        <v>30022314</v>
      </c>
      <c r="F6" t="s">
        <v>283</v>
      </c>
      <c r="G6">
        <v>2</v>
      </c>
      <c r="I6">
        <v>30022661</v>
      </c>
      <c r="J6" t="s">
        <v>318</v>
      </c>
      <c r="K6">
        <v>3</v>
      </c>
    </row>
    <row r="7" spans="1:11" x14ac:dyDescent="0.2">
      <c r="A7">
        <v>30021125</v>
      </c>
      <c r="B7" t="s">
        <v>274</v>
      </c>
      <c r="C7">
        <v>1</v>
      </c>
      <c r="E7">
        <v>30022316</v>
      </c>
      <c r="F7" t="s">
        <v>267</v>
      </c>
      <c r="G7">
        <v>2</v>
      </c>
      <c r="I7">
        <v>30022776</v>
      </c>
      <c r="J7" t="s">
        <v>259</v>
      </c>
      <c r="K7">
        <v>3</v>
      </c>
    </row>
    <row r="8" spans="1:11" x14ac:dyDescent="0.2">
      <c r="A8" t="s">
        <v>277</v>
      </c>
      <c r="B8" t="s">
        <v>278</v>
      </c>
      <c r="C8">
        <v>1</v>
      </c>
      <c r="E8">
        <v>30022662</v>
      </c>
      <c r="F8" t="s">
        <v>275</v>
      </c>
      <c r="G8">
        <v>2</v>
      </c>
      <c r="I8">
        <v>30023092</v>
      </c>
      <c r="J8" t="s">
        <v>270</v>
      </c>
      <c r="K8">
        <v>3</v>
      </c>
    </row>
    <row r="9" spans="1:11" x14ac:dyDescent="0.2">
      <c r="A9" t="s">
        <v>281</v>
      </c>
      <c r="B9" t="s">
        <v>282</v>
      </c>
      <c r="C9">
        <v>1</v>
      </c>
      <c r="E9">
        <v>30022777</v>
      </c>
      <c r="F9" t="s">
        <v>285</v>
      </c>
      <c r="G9">
        <v>2</v>
      </c>
      <c r="I9">
        <v>30020997</v>
      </c>
      <c r="J9" t="s">
        <v>295</v>
      </c>
      <c r="K9">
        <v>3</v>
      </c>
    </row>
    <row r="10" spans="1:11" x14ac:dyDescent="0.2">
      <c r="A10">
        <v>30022635</v>
      </c>
      <c r="B10" t="s">
        <v>284</v>
      </c>
      <c r="C10">
        <v>1</v>
      </c>
      <c r="E10">
        <v>30019354</v>
      </c>
      <c r="F10" t="s">
        <v>313</v>
      </c>
      <c r="G10">
        <v>2</v>
      </c>
    </row>
    <row r="11" spans="1:11" x14ac:dyDescent="0.2">
      <c r="A11">
        <v>30021032</v>
      </c>
      <c r="B11" t="s">
        <v>287</v>
      </c>
      <c r="C11">
        <v>1</v>
      </c>
      <c r="E11">
        <v>30020998</v>
      </c>
      <c r="F11" t="s">
        <v>289</v>
      </c>
      <c r="G11">
        <v>2</v>
      </c>
    </row>
    <row r="12" spans="1:11" x14ac:dyDescent="0.2">
      <c r="A12">
        <v>30020996</v>
      </c>
      <c r="B12" t="s">
        <v>290</v>
      </c>
      <c r="C12">
        <v>1</v>
      </c>
      <c r="E12">
        <v>30021124</v>
      </c>
      <c r="F12" t="s">
        <v>296</v>
      </c>
      <c r="G12">
        <v>2</v>
      </c>
    </row>
    <row r="13" spans="1:11" x14ac:dyDescent="0.2">
      <c r="A13" t="s">
        <v>293</v>
      </c>
      <c r="B13" t="s">
        <v>294</v>
      </c>
      <c r="C13">
        <v>1</v>
      </c>
      <c r="E13">
        <v>30022638</v>
      </c>
      <c r="F13" t="s">
        <v>280</v>
      </c>
      <c r="G13">
        <v>2</v>
      </c>
    </row>
    <row r="14" spans="1:11" x14ac:dyDescent="0.2">
      <c r="A14">
        <v>30021033</v>
      </c>
      <c r="B14" t="s">
        <v>297</v>
      </c>
      <c r="C14">
        <v>1</v>
      </c>
      <c r="E14">
        <v>30022661</v>
      </c>
      <c r="F14" t="s">
        <v>309</v>
      </c>
      <c r="G14">
        <v>2</v>
      </c>
    </row>
    <row r="15" spans="1:11" x14ac:dyDescent="0.2">
      <c r="A15">
        <v>30019986</v>
      </c>
      <c r="B15" t="s">
        <v>300</v>
      </c>
      <c r="C15">
        <v>1</v>
      </c>
      <c r="E15">
        <v>30022776</v>
      </c>
      <c r="F15" t="s">
        <v>273</v>
      </c>
      <c r="G15">
        <v>2</v>
      </c>
    </row>
    <row r="16" spans="1:11" x14ac:dyDescent="0.2">
      <c r="A16">
        <v>30020706</v>
      </c>
      <c r="B16" t="s">
        <v>269</v>
      </c>
      <c r="C16">
        <v>1</v>
      </c>
      <c r="E16">
        <v>30023092</v>
      </c>
      <c r="F16" t="s">
        <v>259</v>
      </c>
      <c r="G16">
        <v>2</v>
      </c>
    </row>
    <row r="17" spans="1:3" x14ac:dyDescent="0.2">
      <c r="A17">
        <v>30022222</v>
      </c>
      <c r="B17" t="s">
        <v>305</v>
      </c>
      <c r="C17">
        <v>1</v>
      </c>
    </row>
    <row r="18" spans="1:3" x14ac:dyDescent="0.2">
      <c r="A18">
        <v>30021058</v>
      </c>
      <c r="B18" t="s">
        <v>307</v>
      </c>
      <c r="C18">
        <v>1</v>
      </c>
    </row>
    <row r="19" spans="1:3" x14ac:dyDescent="0.2">
      <c r="A19">
        <v>30022255</v>
      </c>
      <c r="B19" t="s">
        <v>310</v>
      </c>
      <c r="C19">
        <v>1</v>
      </c>
    </row>
    <row r="20" spans="1:3" x14ac:dyDescent="0.2">
      <c r="A20">
        <v>30020994</v>
      </c>
      <c r="B20" t="s">
        <v>312</v>
      </c>
      <c r="C20">
        <v>1</v>
      </c>
    </row>
    <row r="21" spans="1:3" x14ac:dyDescent="0.2">
      <c r="A21">
        <v>30019992</v>
      </c>
      <c r="B21" t="s">
        <v>314</v>
      </c>
      <c r="C21">
        <v>1</v>
      </c>
    </row>
    <row r="22" spans="1:3" x14ac:dyDescent="0.2">
      <c r="A22" t="s">
        <v>316</v>
      </c>
      <c r="B22" t="s">
        <v>317</v>
      </c>
      <c r="C22">
        <v>1</v>
      </c>
    </row>
    <row r="23" spans="1:3" x14ac:dyDescent="0.2">
      <c r="A23">
        <v>30021078</v>
      </c>
      <c r="B23" t="s">
        <v>286</v>
      </c>
      <c r="C23">
        <v>1</v>
      </c>
    </row>
    <row r="24" spans="1:3" x14ac:dyDescent="0.2">
      <c r="A24">
        <v>30021041</v>
      </c>
      <c r="B24" t="s">
        <v>307</v>
      </c>
      <c r="C24">
        <v>1</v>
      </c>
    </row>
    <row r="25" spans="1:3" x14ac:dyDescent="0.2">
      <c r="A25">
        <v>30017939</v>
      </c>
      <c r="B25" t="s">
        <v>301</v>
      </c>
      <c r="C25">
        <v>1</v>
      </c>
    </row>
    <row r="26" spans="1:3" x14ac:dyDescent="0.2">
      <c r="A26">
        <v>30018970</v>
      </c>
      <c r="B26" t="s">
        <v>306</v>
      </c>
      <c r="C26">
        <v>1</v>
      </c>
    </row>
    <row r="27" spans="1:3" x14ac:dyDescent="0.2">
      <c r="A27">
        <v>30020997</v>
      </c>
      <c r="B27" t="s">
        <v>279</v>
      </c>
      <c r="C27">
        <v>1</v>
      </c>
    </row>
    <row r="28" spans="1:3" x14ac:dyDescent="0.2">
      <c r="A28">
        <v>30021004</v>
      </c>
      <c r="B28" t="s">
        <v>288</v>
      </c>
      <c r="C28">
        <v>1</v>
      </c>
    </row>
    <row r="29" spans="1:3" x14ac:dyDescent="0.2">
      <c r="A29">
        <v>30022314</v>
      </c>
      <c r="B29" t="s">
        <v>259</v>
      </c>
      <c r="C29">
        <v>1</v>
      </c>
    </row>
    <row r="30" spans="1:3" x14ac:dyDescent="0.2">
      <c r="A30">
        <v>30022316</v>
      </c>
      <c r="B30" t="s">
        <v>263</v>
      </c>
      <c r="C30">
        <v>1</v>
      </c>
    </row>
    <row r="31" spans="1:3" x14ac:dyDescent="0.2">
      <c r="A31">
        <v>30022662</v>
      </c>
      <c r="B31" t="s">
        <v>272</v>
      </c>
      <c r="C31">
        <v>1</v>
      </c>
    </row>
    <row r="32" spans="1:3" x14ac:dyDescent="0.2">
      <c r="A32">
        <v>30022777</v>
      </c>
      <c r="B32" t="s">
        <v>260</v>
      </c>
      <c r="C32">
        <v>1</v>
      </c>
    </row>
    <row r="33" spans="1:3" x14ac:dyDescent="0.2">
      <c r="A33">
        <v>30019354</v>
      </c>
      <c r="B33" t="s">
        <v>311</v>
      </c>
      <c r="C33">
        <v>1</v>
      </c>
    </row>
    <row r="34" spans="1:3" x14ac:dyDescent="0.2">
      <c r="A34">
        <v>30020998</v>
      </c>
      <c r="B34" t="s">
        <v>286</v>
      </c>
      <c r="C34">
        <v>1</v>
      </c>
    </row>
    <row r="35" spans="1:3" x14ac:dyDescent="0.2">
      <c r="A35">
        <v>30021124</v>
      </c>
      <c r="B35" t="s">
        <v>292</v>
      </c>
      <c r="C35">
        <v>1</v>
      </c>
    </row>
    <row r="36" spans="1:3" x14ac:dyDescent="0.2">
      <c r="A36">
        <v>30022638</v>
      </c>
      <c r="B36" t="s">
        <v>276</v>
      </c>
      <c r="C36">
        <v>1</v>
      </c>
    </row>
    <row r="37" spans="1:3" x14ac:dyDescent="0.2">
      <c r="A37">
        <v>30022661</v>
      </c>
      <c r="B37" t="s">
        <v>304</v>
      </c>
      <c r="C37">
        <v>1</v>
      </c>
    </row>
    <row r="38" spans="1:3" x14ac:dyDescent="0.2">
      <c r="A38">
        <v>30022776</v>
      </c>
      <c r="B38" t="s">
        <v>261</v>
      </c>
      <c r="C38">
        <v>1</v>
      </c>
    </row>
    <row r="39" spans="1:3" x14ac:dyDescent="0.2">
      <c r="A39">
        <v>30023092</v>
      </c>
      <c r="B39" t="s">
        <v>264</v>
      </c>
      <c r="C39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rgb="FF92D050"/>
  </sheetPr>
  <dimension ref="A1:A207"/>
  <sheetViews>
    <sheetView workbookViewId="0"/>
  </sheetViews>
  <sheetFormatPr defaultRowHeight="12.75" x14ac:dyDescent="0.2"/>
  <cols>
    <col min="1" max="1" width="21" bestFit="1" customWidth="1"/>
  </cols>
  <sheetData>
    <row r="1" spans="1:1" x14ac:dyDescent="0.2">
      <c r="A1" s="13" t="s">
        <v>128</v>
      </c>
    </row>
    <row r="2" spans="1:1" x14ac:dyDescent="0.2">
      <c r="A2" s="17">
        <v>20058938</v>
      </c>
    </row>
    <row r="3" spans="1:1" x14ac:dyDescent="0.2">
      <c r="A3" s="15">
        <v>30018317</v>
      </c>
    </row>
    <row r="4" spans="1:1" x14ac:dyDescent="0.2">
      <c r="A4" s="16">
        <v>99091</v>
      </c>
    </row>
    <row r="5" spans="1:1" x14ac:dyDescent="0.2">
      <c r="A5" s="17">
        <v>20058982</v>
      </c>
    </row>
    <row r="6" spans="1:1" x14ac:dyDescent="0.2">
      <c r="A6" s="15">
        <v>30018316</v>
      </c>
    </row>
    <row r="7" spans="1:1" x14ac:dyDescent="0.2">
      <c r="A7" s="16">
        <v>99096</v>
      </c>
    </row>
    <row r="8" spans="1:1" x14ac:dyDescent="0.2">
      <c r="A8" s="17">
        <v>20058996</v>
      </c>
    </row>
    <row r="9" spans="1:1" x14ac:dyDescent="0.2">
      <c r="A9" s="15">
        <v>30018320</v>
      </c>
    </row>
    <row r="10" spans="1:1" x14ac:dyDescent="0.2">
      <c r="A10" s="16">
        <v>99093</v>
      </c>
    </row>
    <row r="11" spans="1:1" x14ac:dyDescent="0.2">
      <c r="A11" s="15">
        <v>30018691</v>
      </c>
    </row>
    <row r="12" spans="1:1" x14ac:dyDescent="0.2">
      <c r="A12" s="16">
        <v>99191</v>
      </c>
    </row>
    <row r="13" spans="1:1" x14ac:dyDescent="0.2">
      <c r="A13" s="17">
        <v>20059000</v>
      </c>
    </row>
    <row r="14" spans="1:1" x14ac:dyDescent="0.2">
      <c r="A14" s="15">
        <v>30018322</v>
      </c>
    </row>
    <row r="15" spans="1:1" x14ac:dyDescent="0.2">
      <c r="A15" s="16">
        <v>99094</v>
      </c>
    </row>
    <row r="16" spans="1:1" x14ac:dyDescent="0.2">
      <c r="A16" s="17">
        <v>20059025</v>
      </c>
    </row>
    <row r="17" spans="1:1" x14ac:dyDescent="0.2">
      <c r="A17" s="15">
        <v>30018321</v>
      </c>
    </row>
    <row r="18" spans="1:1" x14ac:dyDescent="0.2">
      <c r="A18" s="16">
        <v>99098</v>
      </c>
    </row>
    <row r="19" spans="1:1" x14ac:dyDescent="0.2">
      <c r="A19" s="17">
        <v>20059327</v>
      </c>
    </row>
    <row r="20" spans="1:1" x14ac:dyDescent="0.2">
      <c r="A20" s="15">
        <v>30018692</v>
      </c>
    </row>
    <row r="21" spans="1:1" x14ac:dyDescent="0.2">
      <c r="A21" s="16">
        <v>99193</v>
      </c>
    </row>
    <row r="22" spans="1:1" x14ac:dyDescent="0.2">
      <c r="A22" s="17">
        <v>20059328</v>
      </c>
    </row>
    <row r="23" spans="1:1" x14ac:dyDescent="0.2">
      <c r="A23" s="15">
        <v>30018693</v>
      </c>
    </row>
    <row r="24" spans="1:1" x14ac:dyDescent="0.2">
      <c r="A24" s="16">
        <v>99194</v>
      </c>
    </row>
    <row r="25" spans="1:1" x14ac:dyDescent="0.2">
      <c r="A25" s="17">
        <v>20059359</v>
      </c>
    </row>
    <row r="26" spans="1:1" x14ac:dyDescent="0.2">
      <c r="A26" s="15">
        <v>30018694</v>
      </c>
    </row>
    <row r="27" spans="1:1" x14ac:dyDescent="0.2">
      <c r="A27" s="16">
        <v>99197</v>
      </c>
    </row>
    <row r="28" spans="1:1" x14ac:dyDescent="0.2">
      <c r="A28" s="17">
        <v>20059371</v>
      </c>
    </row>
    <row r="29" spans="1:1" x14ac:dyDescent="0.2">
      <c r="A29" s="15">
        <v>30018318</v>
      </c>
    </row>
    <row r="30" spans="1:1" x14ac:dyDescent="0.2">
      <c r="A30" s="16">
        <v>99092</v>
      </c>
    </row>
    <row r="31" spans="1:1" x14ac:dyDescent="0.2">
      <c r="A31" s="17">
        <v>20059372</v>
      </c>
    </row>
    <row r="32" spans="1:1" x14ac:dyDescent="0.2">
      <c r="A32" s="15">
        <v>30018668</v>
      </c>
    </row>
    <row r="33" spans="1:1" x14ac:dyDescent="0.2">
      <c r="A33" s="16">
        <v>99186</v>
      </c>
    </row>
    <row r="34" spans="1:1" x14ac:dyDescent="0.2">
      <c r="A34" s="15">
        <v>30018669</v>
      </c>
    </row>
    <row r="35" spans="1:1" x14ac:dyDescent="0.2">
      <c r="A35" s="16">
        <v>99187</v>
      </c>
    </row>
    <row r="36" spans="1:1" x14ac:dyDescent="0.2">
      <c r="A36" s="17">
        <v>20059869</v>
      </c>
    </row>
    <row r="37" spans="1:1" x14ac:dyDescent="0.2">
      <c r="A37" s="15">
        <v>30019033</v>
      </c>
    </row>
    <row r="38" spans="1:1" x14ac:dyDescent="0.2">
      <c r="A38" s="16">
        <v>99291</v>
      </c>
    </row>
    <row r="39" spans="1:1" x14ac:dyDescent="0.2">
      <c r="A39" s="17">
        <v>20059872</v>
      </c>
    </row>
    <row r="40" spans="1:1" x14ac:dyDescent="0.2">
      <c r="A40" s="15">
        <v>30019032</v>
      </c>
    </row>
    <row r="41" spans="1:1" x14ac:dyDescent="0.2">
      <c r="A41" s="16">
        <v>99298</v>
      </c>
    </row>
    <row r="42" spans="1:1" x14ac:dyDescent="0.2">
      <c r="A42" s="17">
        <v>20059873</v>
      </c>
    </row>
    <row r="43" spans="1:1" x14ac:dyDescent="0.2">
      <c r="A43" s="15">
        <v>30019035</v>
      </c>
    </row>
    <row r="44" spans="1:1" x14ac:dyDescent="0.2">
      <c r="A44" s="16">
        <v>99307</v>
      </c>
    </row>
    <row r="45" spans="1:1" x14ac:dyDescent="0.2">
      <c r="A45" s="15">
        <v>30019036</v>
      </c>
    </row>
    <row r="46" spans="1:1" x14ac:dyDescent="0.2">
      <c r="A46" s="16">
        <v>99309</v>
      </c>
    </row>
    <row r="47" spans="1:1" x14ac:dyDescent="0.2">
      <c r="A47" s="17">
        <v>20060121</v>
      </c>
    </row>
    <row r="48" spans="1:1" x14ac:dyDescent="0.2">
      <c r="A48" s="15">
        <v>30019034</v>
      </c>
    </row>
    <row r="49" spans="1:1" x14ac:dyDescent="0.2">
      <c r="A49" s="16">
        <v>99306</v>
      </c>
    </row>
    <row r="50" spans="1:1" x14ac:dyDescent="0.2">
      <c r="A50" s="17">
        <v>20060170</v>
      </c>
    </row>
    <row r="51" spans="1:1" x14ac:dyDescent="0.2">
      <c r="A51" s="15">
        <v>30019150</v>
      </c>
    </row>
    <row r="52" spans="1:1" x14ac:dyDescent="0.2">
      <c r="A52" s="16">
        <v>99341</v>
      </c>
    </row>
    <row r="53" spans="1:1" x14ac:dyDescent="0.2">
      <c r="A53" s="17">
        <v>20060255</v>
      </c>
    </row>
    <row r="54" spans="1:1" x14ac:dyDescent="0.2">
      <c r="A54" s="15">
        <v>30018695</v>
      </c>
    </row>
    <row r="55" spans="1:1" x14ac:dyDescent="0.2">
      <c r="A55" s="16">
        <v>99198</v>
      </c>
    </row>
    <row r="56" spans="1:1" x14ac:dyDescent="0.2">
      <c r="A56" s="15">
        <v>30019301</v>
      </c>
    </row>
    <row r="57" spans="1:1" x14ac:dyDescent="0.2">
      <c r="A57" s="16">
        <v>99448</v>
      </c>
    </row>
    <row r="58" spans="1:1" x14ac:dyDescent="0.2">
      <c r="A58" s="15">
        <v>30019317</v>
      </c>
    </row>
    <row r="59" spans="1:1" x14ac:dyDescent="0.2">
      <c r="A59" s="16">
        <v>99468</v>
      </c>
    </row>
    <row r="60" spans="1:1" x14ac:dyDescent="0.2">
      <c r="A60" s="17">
        <v>20060470</v>
      </c>
    </row>
    <row r="61" spans="1:1" x14ac:dyDescent="0.2">
      <c r="A61" s="15">
        <v>30019151</v>
      </c>
    </row>
    <row r="62" spans="1:1" x14ac:dyDescent="0.2">
      <c r="A62" s="16">
        <v>99342</v>
      </c>
    </row>
    <row r="63" spans="1:1" x14ac:dyDescent="0.2">
      <c r="A63" s="15">
        <v>30019316</v>
      </c>
    </row>
    <row r="64" spans="1:1" x14ac:dyDescent="0.2">
      <c r="A64" s="16">
        <v>99469</v>
      </c>
    </row>
    <row r="65" spans="1:1" x14ac:dyDescent="0.2">
      <c r="A65" s="17">
        <v>20060473</v>
      </c>
    </row>
    <row r="66" spans="1:1" x14ac:dyDescent="0.2">
      <c r="A66" s="15">
        <v>30019323</v>
      </c>
    </row>
    <row r="67" spans="1:1" x14ac:dyDescent="0.2">
      <c r="A67" s="16">
        <v>99467</v>
      </c>
    </row>
    <row r="68" spans="1:1" x14ac:dyDescent="0.2">
      <c r="A68" s="15">
        <v>30019324</v>
      </c>
    </row>
    <row r="69" spans="1:1" x14ac:dyDescent="0.2">
      <c r="A69" s="16">
        <v>99464</v>
      </c>
    </row>
    <row r="70" spans="1:1" x14ac:dyDescent="0.2">
      <c r="A70" s="17">
        <v>20060526</v>
      </c>
    </row>
    <row r="71" spans="1:1" x14ac:dyDescent="0.2">
      <c r="A71" s="15">
        <v>30019135</v>
      </c>
    </row>
    <row r="72" spans="1:1" x14ac:dyDescent="0.2">
      <c r="A72" s="16">
        <v>99337</v>
      </c>
    </row>
    <row r="73" spans="1:1" x14ac:dyDescent="0.2">
      <c r="A73" s="15">
        <v>30019136</v>
      </c>
    </row>
    <row r="74" spans="1:1" x14ac:dyDescent="0.2">
      <c r="A74" s="16">
        <v>99336</v>
      </c>
    </row>
    <row r="75" spans="1:1" x14ac:dyDescent="0.2">
      <c r="A75" s="15">
        <v>30019279</v>
      </c>
    </row>
    <row r="76" spans="1:1" x14ac:dyDescent="0.2">
      <c r="A76" s="16">
        <v>99446</v>
      </c>
    </row>
    <row r="77" spans="1:1" x14ac:dyDescent="0.2">
      <c r="A77" s="15">
        <v>30019300</v>
      </c>
    </row>
    <row r="78" spans="1:1" x14ac:dyDescent="0.2">
      <c r="A78" s="16">
        <v>99442</v>
      </c>
    </row>
    <row r="79" spans="1:1" x14ac:dyDescent="0.2">
      <c r="A79" s="15">
        <v>30020222</v>
      </c>
    </row>
    <row r="80" spans="1:1" x14ac:dyDescent="0.2">
      <c r="A80" s="16">
        <v>99336</v>
      </c>
    </row>
    <row r="81" spans="1:1" x14ac:dyDescent="0.2">
      <c r="A81" s="15">
        <v>30020223</v>
      </c>
    </row>
    <row r="82" spans="1:1" x14ac:dyDescent="0.2">
      <c r="A82" s="16">
        <v>99337</v>
      </c>
    </row>
    <row r="83" spans="1:1" x14ac:dyDescent="0.2">
      <c r="A83" s="15">
        <v>30020249</v>
      </c>
    </row>
    <row r="84" spans="1:1" x14ac:dyDescent="0.2">
      <c r="A84" s="16">
        <v>99818</v>
      </c>
    </row>
    <row r="85" spans="1:1" x14ac:dyDescent="0.2">
      <c r="A85" s="15">
        <v>30020459</v>
      </c>
    </row>
    <row r="86" spans="1:1" x14ac:dyDescent="0.2">
      <c r="A86" s="16">
        <v>99909</v>
      </c>
    </row>
    <row r="87" spans="1:1" x14ac:dyDescent="0.2">
      <c r="A87" s="17">
        <v>20060527</v>
      </c>
    </row>
    <row r="88" spans="1:1" x14ac:dyDescent="0.2">
      <c r="A88" s="15">
        <v>30019134</v>
      </c>
    </row>
    <row r="89" spans="1:1" x14ac:dyDescent="0.2">
      <c r="A89" s="16">
        <v>99338</v>
      </c>
    </row>
    <row r="90" spans="1:1" x14ac:dyDescent="0.2">
      <c r="A90" s="15">
        <v>30019278</v>
      </c>
    </row>
    <row r="91" spans="1:1" x14ac:dyDescent="0.2">
      <c r="A91" s="16">
        <v>99447</v>
      </c>
    </row>
    <row r="92" spans="1:1" x14ac:dyDescent="0.2">
      <c r="A92" s="17">
        <v>20060826</v>
      </c>
    </row>
    <row r="93" spans="1:1" x14ac:dyDescent="0.2">
      <c r="A93" s="15">
        <v>30019137</v>
      </c>
    </row>
    <row r="94" spans="1:1" x14ac:dyDescent="0.2">
      <c r="A94" s="16">
        <v>99344</v>
      </c>
    </row>
    <row r="95" spans="1:1" x14ac:dyDescent="0.2">
      <c r="A95" s="15">
        <v>30019138</v>
      </c>
    </row>
    <row r="96" spans="1:1" x14ac:dyDescent="0.2">
      <c r="A96" s="16">
        <v>99343</v>
      </c>
    </row>
    <row r="97" spans="1:1" x14ac:dyDescent="0.2">
      <c r="A97" s="17">
        <v>20060855</v>
      </c>
    </row>
    <row r="98" spans="1:1" x14ac:dyDescent="0.2">
      <c r="A98" s="15">
        <v>30019463</v>
      </c>
    </row>
    <row r="99" spans="1:1" x14ac:dyDescent="0.2">
      <c r="A99" s="16">
        <v>99523</v>
      </c>
    </row>
    <row r="100" spans="1:1" x14ac:dyDescent="0.2">
      <c r="A100" s="17">
        <v>20061144</v>
      </c>
    </row>
    <row r="101" spans="1:1" x14ac:dyDescent="0.2">
      <c r="A101" s="15">
        <v>30019139</v>
      </c>
    </row>
    <row r="102" spans="1:1" x14ac:dyDescent="0.2">
      <c r="A102" s="16">
        <v>99339</v>
      </c>
    </row>
    <row r="103" spans="1:1" x14ac:dyDescent="0.2">
      <c r="A103" s="15">
        <v>30019851</v>
      </c>
    </row>
    <row r="104" spans="1:1" x14ac:dyDescent="0.2">
      <c r="A104" s="16">
        <v>99639</v>
      </c>
    </row>
    <row r="105" spans="1:1" x14ac:dyDescent="0.2">
      <c r="A105" s="15">
        <v>30020147</v>
      </c>
    </row>
    <row r="106" spans="1:1" x14ac:dyDescent="0.2">
      <c r="A106" s="16">
        <v>99339</v>
      </c>
    </row>
    <row r="107" spans="1:1" x14ac:dyDescent="0.2">
      <c r="A107" s="17">
        <v>20061252</v>
      </c>
    </row>
    <row r="108" spans="1:1" x14ac:dyDescent="0.2">
      <c r="A108" s="15">
        <v>30019849</v>
      </c>
    </row>
    <row r="109" spans="1:1" x14ac:dyDescent="0.2">
      <c r="A109" s="16">
        <v>99673</v>
      </c>
    </row>
    <row r="110" spans="1:1" x14ac:dyDescent="0.2">
      <c r="A110" s="17">
        <v>20061256</v>
      </c>
    </row>
    <row r="111" spans="1:1" x14ac:dyDescent="0.2">
      <c r="A111" s="15">
        <v>30019848</v>
      </c>
    </row>
    <row r="112" spans="1:1" x14ac:dyDescent="0.2">
      <c r="A112" s="16">
        <v>99672</v>
      </c>
    </row>
    <row r="113" spans="1:1" x14ac:dyDescent="0.2">
      <c r="A113" s="17">
        <v>20061408</v>
      </c>
    </row>
    <row r="114" spans="1:1" x14ac:dyDescent="0.2">
      <c r="A114" s="15">
        <v>30019882</v>
      </c>
    </row>
    <row r="115" spans="1:1" x14ac:dyDescent="0.2">
      <c r="A115" s="16">
        <v>99671</v>
      </c>
    </row>
    <row r="116" spans="1:1" x14ac:dyDescent="0.2">
      <c r="A116" s="15">
        <v>30019938</v>
      </c>
    </row>
    <row r="117" spans="1:1" x14ac:dyDescent="0.2">
      <c r="A117" s="16">
        <v>99688</v>
      </c>
    </row>
    <row r="118" spans="1:1" x14ac:dyDescent="0.2">
      <c r="A118" s="15">
        <v>30019959</v>
      </c>
    </row>
    <row r="119" spans="1:1" x14ac:dyDescent="0.2">
      <c r="A119" s="16">
        <v>99684</v>
      </c>
    </row>
    <row r="120" spans="1:1" x14ac:dyDescent="0.2">
      <c r="A120" s="15">
        <v>30020216</v>
      </c>
    </row>
    <row r="121" spans="1:1" x14ac:dyDescent="0.2">
      <c r="A121" s="16">
        <v>99799</v>
      </c>
    </row>
    <row r="122" spans="1:1" x14ac:dyDescent="0.2">
      <c r="A122" s="15">
        <v>30020246</v>
      </c>
    </row>
    <row r="123" spans="1:1" x14ac:dyDescent="0.2">
      <c r="A123" s="16">
        <v>99809</v>
      </c>
    </row>
    <row r="124" spans="1:1" x14ac:dyDescent="0.2">
      <c r="A124" s="17">
        <v>20061707</v>
      </c>
    </row>
    <row r="125" spans="1:1" x14ac:dyDescent="0.2">
      <c r="A125" s="15">
        <v>30020244</v>
      </c>
    </row>
    <row r="126" spans="1:1" x14ac:dyDescent="0.2">
      <c r="A126" s="16">
        <v>99808</v>
      </c>
    </row>
    <row r="127" spans="1:1" x14ac:dyDescent="0.2">
      <c r="A127" s="17">
        <v>20061773</v>
      </c>
    </row>
    <row r="128" spans="1:1" x14ac:dyDescent="0.2">
      <c r="A128" s="15">
        <v>30019900</v>
      </c>
    </row>
    <row r="129" spans="1:1" x14ac:dyDescent="0.2">
      <c r="A129" s="16">
        <v>99674</v>
      </c>
    </row>
    <row r="130" spans="1:1" x14ac:dyDescent="0.2">
      <c r="A130" s="17">
        <v>20061796</v>
      </c>
    </row>
    <row r="131" spans="1:1" x14ac:dyDescent="0.2">
      <c r="A131" s="15">
        <v>30020624</v>
      </c>
    </row>
    <row r="132" spans="1:1" x14ac:dyDescent="0.2">
      <c r="A132" s="16">
        <v>60011</v>
      </c>
    </row>
    <row r="133" spans="1:1" x14ac:dyDescent="0.2">
      <c r="A133" s="17">
        <v>20061798</v>
      </c>
    </row>
    <row r="134" spans="1:1" x14ac:dyDescent="0.2">
      <c r="A134" s="15">
        <v>30020621</v>
      </c>
    </row>
    <row r="135" spans="1:1" x14ac:dyDescent="0.2">
      <c r="A135" s="16">
        <v>99989</v>
      </c>
    </row>
    <row r="136" spans="1:1" x14ac:dyDescent="0.2">
      <c r="A136" s="17">
        <v>20061924</v>
      </c>
    </row>
    <row r="137" spans="1:1" x14ac:dyDescent="0.2">
      <c r="A137" s="15">
        <v>30020471</v>
      </c>
    </row>
    <row r="138" spans="1:1" x14ac:dyDescent="0.2">
      <c r="A138" s="16">
        <v>99912</v>
      </c>
    </row>
    <row r="139" spans="1:1" x14ac:dyDescent="0.2">
      <c r="A139" s="15">
        <v>30020247</v>
      </c>
    </row>
    <row r="140" spans="1:1" x14ac:dyDescent="0.2">
      <c r="A140" s="16">
        <v>99816</v>
      </c>
    </row>
    <row r="141" spans="1:1" x14ac:dyDescent="0.2">
      <c r="A141" s="15">
        <v>30020458</v>
      </c>
    </row>
    <row r="142" spans="1:1" x14ac:dyDescent="0.2">
      <c r="A142" s="16">
        <v>99908</v>
      </c>
    </row>
    <row r="143" spans="1:1" x14ac:dyDescent="0.2">
      <c r="A143" s="15">
        <v>30020248</v>
      </c>
    </row>
    <row r="144" spans="1:1" x14ac:dyDescent="0.2">
      <c r="A144" s="16">
        <v>99817</v>
      </c>
    </row>
    <row r="145" spans="1:1" x14ac:dyDescent="0.2">
      <c r="A145" s="17">
        <v>20062093</v>
      </c>
    </row>
    <row r="146" spans="1:1" x14ac:dyDescent="0.2">
      <c r="A146" s="15">
        <v>30020470</v>
      </c>
    </row>
    <row r="147" spans="1:1" x14ac:dyDescent="0.2">
      <c r="A147" s="16">
        <v>99911</v>
      </c>
    </row>
    <row r="148" spans="1:1" x14ac:dyDescent="0.2">
      <c r="A148" s="17">
        <v>20062248</v>
      </c>
    </row>
    <row r="149" spans="1:1" x14ac:dyDescent="0.2">
      <c r="A149" s="15">
        <v>30020662</v>
      </c>
    </row>
    <row r="150" spans="1:1" x14ac:dyDescent="0.2">
      <c r="A150" s="16">
        <v>60021</v>
      </c>
    </row>
    <row r="151" spans="1:1" x14ac:dyDescent="0.2">
      <c r="A151" s="15">
        <v>30020663</v>
      </c>
    </row>
    <row r="152" spans="1:1" x14ac:dyDescent="0.2">
      <c r="A152" s="16">
        <v>60022</v>
      </c>
    </row>
    <row r="153" spans="1:1" x14ac:dyDescent="0.2">
      <c r="A153" s="15">
        <v>30021111</v>
      </c>
    </row>
    <row r="154" spans="1:1" x14ac:dyDescent="0.2">
      <c r="A154" s="16">
        <v>60154</v>
      </c>
    </row>
    <row r="155" spans="1:1" x14ac:dyDescent="0.2">
      <c r="A155" s="17">
        <v>20062282</v>
      </c>
    </row>
    <row r="156" spans="1:1" x14ac:dyDescent="0.2">
      <c r="A156" s="15">
        <v>30020660</v>
      </c>
    </row>
    <row r="157" spans="1:1" x14ac:dyDescent="0.2">
      <c r="A157" s="16">
        <v>60018</v>
      </c>
    </row>
    <row r="158" spans="1:1" x14ac:dyDescent="0.2">
      <c r="A158" s="15">
        <v>30020665</v>
      </c>
    </row>
    <row r="159" spans="1:1" x14ac:dyDescent="0.2">
      <c r="A159" s="16">
        <v>60023</v>
      </c>
    </row>
    <row r="160" spans="1:1" x14ac:dyDescent="0.2">
      <c r="A160" s="17">
        <v>20062323</v>
      </c>
    </row>
    <row r="161" spans="1:1" x14ac:dyDescent="0.2">
      <c r="A161" s="15">
        <v>30020622</v>
      </c>
    </row>
    <row r="162" spans="1:1" x14ac:dyDescent="0.2">
      <c r="A162" s="16">
        <v>99987</v>
      </c>
    </row>
    <row r="163" spans="1:1" x14ac:dyDescent="0.2">
      <c r="A163" s="17">
        <v>20062400</v>
      </c>
    </row>
    <row r="164" spans="1:1" x14ac:dyDescent="0.2">
      <c r="A164" s="15">
        <v>30021116</v>
      </c>
    </row>
    <row r="165" spans="1:1" x14ac:dyDescent="0.2">
      <c r="A165" s="16">
        <v>60163</v>
      </c>
    </row>
    <row r="166" spans="1:1" x14ac:dyDescent="0.2">
      <c r="A166" s="17">
        <v>20062527</v>
      </c>
    </row>
    <row r="167" spans="1:1" x14ac:dyDescent="0.2">
      <c r="A167" s="15">
        <v>30021152</v>
      </c>
    </row>
    <row r="168" spans="1:1" x14ac:dyDescent="0.2">
      <c r="A168" s="16">
        <v>60085</v>
      </c>
    </row>
    <row r="169" spans="1:1" x14ac:dyDescent="0.2">
      <c r="A169" s="17">
        <v>20062529</v>
      </c>
    </row>
    <row r="170" spans="1:1" x14ac:dyDescent="0.2">
      <c r="A170" s="15">
        <v>30021119</v>
      </c>
    </row>
    <row r="171" spans="1:1" x14ac:dyDescent="0.2">
      <c r="A171" s="16">
        <v>60097</v>
      </c>
    </row>
    <row r="172" spans="1:1" x14ac:dyDescent="0.2">
      <c r="A172" s="17">
        <v>20062664</v>
      </c>
    </row>
    <row r="173" spans="1:1" x14ac:dyDescent="0.2">
      <c r="A173" s="15">
        <v>30021325</v>
      </c>
    </row>
    <row r="174" spans="1:1" x14ac:dyDescent="0.2">
      <c r="A174" s="16">
        <v>60223</v>
      </c>
    </row>
    <row r="175" spans="1:1" x14ac:dyDescent="0.2">
      <c r="A175" s="17">
        <v>20062666</v>
      </c>
    </row>
    <row r="176" spans="1:1" x14ac:dyDescent="0.2">
      <c r="A176" s="15">
        <v>30021144</v>
      </c>
    </row>
    <row r="177" spans="1:1" x14ac:dyDescent="0.2">
      <c r="A177" s="16">
        <v>60152</v>
      </c>
    </row>
    <row r="178" spans="1:1" x14ac:dyDescent="0.2">
      <c r="A178" s="17">
        <v>20062778</v>
      </c>
    </row>
    <row r="179" spans="1:1" x14ac:dyDescent="0.2">
      <c r="A179" s="15">
        <v>30019276</v>
      </c>
    </row>
    <row r="180" spans="1:1" x14ac:dyDescent="0.2">
      <c r="A180" s="16">
        <v>99439</v>
      </c>
    </row>
    <row r="181" spans="1:1" x14ac:dyDescent="0.2">
      <c r="A181" s="15">
        <v>30019277</v>
      </c>
    </row>
    <row r="182" spans="1:1" x14ac:dyDescent="0.2">
      <c r="A182" s="16">
        <v>99441</v>
      </c>
    </row>
    <row r="183" spans="1:1" x14ac:dyDescent="0.2">
      <c r="A183" s="15">
        <v>30021129</v>
      </c>
    </row>
    <row r="184" spans="1:1" x14ac:dyDescent="0.2">
      <c r="A184" s="16">
        <v>60149</v>
      </c>
    </row>
    <row r="185" spans="1:1" x14ac:dyDescent="0.2">
      <c r="A185" s="15">
        <v>30020270</v>
      </c>
    </row>
    <row r="186" spans="1:1" x14ac:dyDescent="0.2">
      <c r="A186" s="16">
        <v>99819</v>
      </c>
    </row>
    <row r="187" spans="1:1" x14ac:dyDescent="0.2">
      <c r="A187" s="17">
        <v>20063388</v>
      </c>
    </row>
    <row r="188" spans="1:1" x14ac:dyDescent="0.2">
      <c r="A188" s="15">
        <v>30020661</v>
      </c>
    </row>
    <row r="189" spans="1:1" x14ac:dyDescent="0.2">
      <c r="A189" s="16">
        <v>60019</v>
      </c>
    </row>
    <row r="190" spans="1:1" x14ac:dyDescent="0.2">
      <c r="A190" s="15">
        <v>30022160</v>
      </c>
    </row>
    <row r="191" spans="1:1" x14ac:dyDescent="0.2">
      <c r="A191" s="16">
        <v>60420</v>
      </c>
    </row>
    <row r="192" spans="1:1" x14ac:dyDescent="0.2">
      <c r="A192" s="17">
        <v>20063699</v>
      </c>
    </row>
    <row r="193" spans="1:1" x14ac:dyDescent="0.2">
      <c r="A193" s="15">
        <v>30020559</v>
      </c>
    </row>
    <row r="194" spans="1:1" x14ac:dyDescent="0.2">
      <c r="A194" s="16">
        <v>60017</v>
      </c>
    </row>
    <row r="195" spans="1:1" x14ac:dyDescent="0.2">
      <c r="A195" s="17" t="s">
        <v>78</v>
      </c>
    </row>
    <row r="196" spans="1:1" x14ac:dyDescent="0.2">
      <c r="A196" s="15">
        <v>30018319</v>
      </c>
    </row>
    <row r="197" spans="1:1" x14ac:dyDescent="0.2">
      <c r="A197" s="16">
        <v>99097</v>
      </c>
    </row>
    <row r="198" spans="1:1" x14ac:dyDescent="0.2">
      <c r="A198" s="17" t="s">
        <v>82</v>
      </c>
    </row>
    <row r="199" spans="1:1" x14ac:dyDescent="0.2">
      <c r="A199" s="15">
        <v>30018690</v>
      </c>
    </row>
    <row r="200" spans="1:1" x14ac:dyDescent="0.2">
      <c r="A200" s="16">
        <v>99188</v>
      </c>
    </row>
    <row r="201" spans="1:1" x14ac:dyDescent="0.2">
      <c r="A201" s="17" t="s">
        <v>674</v>
      </c>
    </row>
    <row r="202" spans="1:1" x14ac:dyDescent="0.2">
      <c r="A202" s="15">
        <v>30020220</v>
      </c>
    </row>
    <row r="203" spans="1:1" x14ac:dyDescent="0.2">
      <c r="A203" s="16">
        <v>99802</v>
      </c>
    </row>
    <row r="204" spans="1:1" x14ac:dyDescent="0.2">
      <c r="A204" s="15">
        <v>30020226</v>
      </c>
    </row>
    <row r="205" spans="1:1" x14ac:dyDescent="0.2">
      <c r="A205" s="16">
        <v>99801</v>
      </c>
    </row>
    <row r="206" spans="1:1" x14ac:dyDescent="0.2">
      <c r="A206" s="17" t="s">
        <v>129</v>
      </c>
    </row>
    <row r="207" spans="1:1" x14ac:dyDescent="0.2">
      <c r="A207" s="14" t="s">
        <v>130</v>
      </c>
    </row>
  </sheetData>
  <pageMargins left="0.7" right="0.7" top="0.75" bottom="0.75" header="0.3" footer="0.3"/>
  <pageSetup paperSize="9"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H58"/>
  <sheetViews>
    <sheetView workbookViewId="0"/>
  </sheetViews>
  <sheetFormatPr defaultRowHeight="12.75" x14ac:dyDescent="0.2"/>
  <cols>
    <col min="1" max="1" width="9" style="26" bestFit="1" customWidth="1"/>
    <col min="2" max="2" width="9.140625" style="29" bestFit="1" customWidth="1"/>
    <col min="3" max="3" width="47.140625" style="29" bestFit="1" customWidth="1"/>
    <col min="4" max="4" width="17.140625" style="29" bestFit="1" customWidth="1"/>
    <col min="5" max="5" width="34.5703125" style="29" bestFit="1" customWidth="1"/>
    <col min="6" max="6" width="13.5703125" style="29" bestFit="1" customWidth="1"/>
    <col min="7" max="7" width="124.5703125" style="29" bestFit="1" customWidth="1"/>
  </cols>
  <sheetData>
    <row r="1" spans="1:7" x14ac:dyDescent="0.2">
      <c r="A1" s="21" t="s">
        <v>137</v>
      </c>
      <c r="B1" s="22" t="s">
        <v>0</v>
      </c>
      <c r="C1" s="22" t="s">
        <v>138</v>
      </c>
      <c r="D1" s="23" t="s">
        <v>139</v>
      </c>
      <c r="E1" s="23" t="s">
        <v>140</v>
      </c>
      <c r="F1" s="24" t="s">
        <v>141</v>
      </c>
      <c r="G1" s="25" t="s">
        <v>142</v>
      </c>
    </row>
    <row r="2" spans="1:7" x14ac:dyDescent="0.2">
      <c r="A2" s="26">
        <v>30018316</v>
      </c>
      <c r="B2" s="27">
        <v>30020994</v>
      </c>
      <c r="C2" s="28" t="s">
        <v>143</v>
      </c>
      <c r="D2" s="29">
        <v>40053468</v>
      </c>
      <c r="E2" s="29" t="s">
        <v>144</v>
      </c>
      <c r="F2" s="29" t="s">
        <v>145</v>
      </c>
      <c r="G2" s="27" t="s">
        <v>146</v>
      </c>
    </row>
    <row r="3" spans="1:7" x14ac:dyDescent="0.2">
      <c r="A3" s="26">
        <v>30018318</v>
      </c>
      <c r="B3" s="30">
        <v>30021033</v>
      </c>
      <c r="C3" s="31" t="s">
        <v>147</v>
      </c>
      <c r="D3" s="29">
        <v>40053365</v>
      </c>
      <c r="E3" s="29" t="s">
        <v>148</v>
      </c>
      <c r="F3" s="29" t="s">
        <v>149</v>
      </c>
      <c r="G3" s="30" t="s">
        <v>150</v>
      </c>
    </row>
    <row r="4" spans="1:7" x14ac:dyDescent="0.2">
      <c r="A4" s="26">
        <v>30018319</v>
      </c>
      <c r="B4" s="30">
        <v>30020995</v>
      </c>
      <c r="C4" s="31" t="s">
        <v>151</v>
      </c>
      <c r="D4" s="29">
        <v>40052933</v>
      </c>
      <c r="E4" s="29" t="s">
        <v>152</v>
      </c>
      <c r="F4" s="29" t="s">
        <v>145</v>
      </c>
      <c r="G4" s="30" t="s">
        <v>146</v>
      </c>
    </row>
    <row r="5" spans="1:7" x14ac:dyDescent="0.2">
      <c r="A5" s="26">
        <v>30018320</v>
      </c>
      <c r="B5" s="32">
        <v>30021043</v>
      </c>
      <c r="C5" s="33" t="s">
        <v>153</v>
      </c>
      <c r="D5" s="29">
        <v>40054048</v>
      </c>
      <c r="E5" s="29" t="s">
        <v>154</v>
      </c>
      <c r="F5" s="29" t="s">
        <v>149</v>
      </c>
      <c r="G5" s="30" t="s">
        <v>155</v>
      </c>
    </row>
    <row r="6" spans="1:7" x14ac:dyDescent="0.2">
      <c r="A6" s="26">
        <v>30018321</v>
      </c>
      <c r="B6" s="30">
        <v>30021005</v>
      </c>
      <c r="C6" s="31" t="s">
        <v>156</v>
      </c>
      <c r="D6" s="29">
        <v>40053598</v>
      </c>
      <c r="E6" s="29" t="s">
        <v>157</v>
      </c>
      <c r="F6" s="29" t="s">
        <v>158</v>
      </c>
      <c r="G6" s="30" t="s">
        <v>159</v>
      </c>
    </row>
    <row r="7" spans="1:7" x14ac:dyDescent="0.2">
      <c r="A7" s="26">
        <v>30018322</v>
      </c>
      <c r="B7" s="30">
        <v>30021030</v>
      </c>
      <c r="C7" s="31" t="s">
        <v>160</v>
      </c>
      <c r="D7" s="29">
        <v>40054046</v>
      </c>
      <c r="E7" s="29" t="s">
        <v>161</v>
      </c>
      <c r="F7" s="29" t="s">
        <v>149</v>
      </c>
      <c r="G7" s="30" t="s">
        <v>155</v>
      </c>
    </row>
    <row r="8" spans="1:7" x14ac:dyDescent="0.2">
      <c r="A8" s="26">
        <v>30018668</v>
      </c>
      <c r="B8" s="30">
        <v>30020996</v>
      </c>
      <c r="C8" s="31" t="s">
        <v>162</v>
      </c>
      <c r="D8" s="29">
        <v>40055760</v>
      </c>
      <c r="E8" s="29" t="s">
        <v>163</v>
      </c>
      <c r="F8" s="29" t="s">
        <v>164</v>
      </c>
      <c r="G8" s="30" t="s">
        <v>165</v>
      </c>
    </row>
    <row r="9" spans="1:7" x14ac:dyDescent="0.2">
      <c r="A9" s="26">
        <v>30018669</v>
      </c>
      <c r="B9" s="30">
        <v>30020997</v>
      </c>
      <c r="C9" s="31" t="s">
        <v>166</v>
      </c>
      <c r="D9" s="29">
        <v>40055862</v>
      </c>
      <c r="E9" s="34" t="s">
        <v>167</v>
      </c>
      <c r="F9" s="29" t="s">
        <v>164</v>
      </c>
      <c r="G9" s="30" t="s">
        <v>168</v>
      </c>
    </row>
    <row r="10" spans="1:7" x14ac:dyDescent="0.2">
      <c r="A10" s="26">
        <v>30018690</v>
      </c>
      <c r="B10" s="30">
        <v>30021006</v>
      </c>
      <c r="C10" s="31" t="s">
        <v>169</v>
      </c>
      <c r="D10" s="29">
        <v>40054833</v>
      </c>
      <c r="E10" s="29" t="s">
        <v>170</v>
      </c>
      <c r="F10" s="29" t="s">
        <v>145</v>
      </c>
      <c r="G10" s="30" t="s">
        <v>146</v>
      </c>
    </row>
    <row r="11" spans="1:7" x14ac:dyDescent="0.2">
      <c r="A11" s="26">
        <v>30018691</v>
      </c>
      <c r="B11" s="30">
        <v>30021041</v>
      </c>
      <c r="C11" s="31" t="s">
        <v>171</v>
      </c>
      <c r="D11" s="29">
        <v>40054051</v>
      </c>
      <c r="E11" s="29" t="s">
        <v>172</v>
      </c>
      <c r="F11" s="29" t="s">
        <v>149</v>
      </c>
      <c r="G11" s="30" t="s">
        <v>173</v>
      </c>
    </row>
    <row r="12" spans="1:7" x14ac:dyDescent="0.2">
      <c r="A12" s="26">
        <v>30018692</v>
      </c>
      <c r="B12" s="30">
        <v>30021032</v>
      </c>
      <c r="C12" s="31" t="s">
        <v>174</v>
      </c>
      <c r="D12" s="29">
        <v>40054380</v>
      </c>
      <c r="E12" s="29" t="s">
        <v>175</v>
      </c>
      <c r="F12" s="29" t="s">
        <v>149</v>
      </c>
      <c r="G12" s="30" t="s">
        <v>150</v>
      </c>
    </row>
    <row r="13" spans="1:7" x14ac:dyDescent="0.2">
      <c r="A13" s="26">
        <v>30018693</v>
      </c>
      <c r="B13" s="30">
        <v>30021038</v>
      </c>
      <c r="C13" s="31" t="s">
        <v>176</v>
      </c>
      <c r="D13" s="29">
        <v>40053365</v>
      </c>
      <c r="E13" s="29" t="s">
        <v>148</v>
      </c>
      <c r="F13" s="29" t="s">
        <v>149</v>
      </c>
      <c r="G13" s="30" t="s">
        <v>150</v>
      </c>
    </row>
    <row r="14" spans="1:7" x14ac:dyDescent="0.2">
      <c r="A14" s="26">
        <v>30018694</v>
      </c>
      <c r="B14" s="30">
        <v>30021007</v>
      </c>
      <c r="C14" s="31" t="s">
        <v>177</v>
      </c>
      <c r="D14" s="29">
        <v>40054053</v>
      </c>
      <c r="E14" s="29" t="s">
        <v>178</v>
      </c>
      <c r="F14" s="29" t="s">
        <v>149</v>
      </c>
      <c r="G14" s="30" t="s">
        <v>155</v>
      </c>
    </row>
    <row r="15" spans="1:7" x14ac:dyDescent="0.2">
      <c r="A15" s="26">
        <v>30019032</v>
      </c>
      <c r="B15" s="30">
        <v>30022964</v>
      </c>
      <c r="C15" s="31" t="s">
        <v>179</v>
      </c>
      <c r="D15" s="29">
        <v>40053365</v>
      </c>
      <c r="E15" s="29" t="s">
        <v>148</v>
      </c>
      <c r="F15" s="29" t="s">
        <v>149</v>
      </c>
      <c r="G15" s="30" t="s">
        <v>180</v>
      </c>
    </row>
    <row r="16" spans="1:7" x14ac:dyDescent="0.2">
      <c r="A16" s="26">
        <v>30019033</v>
      </c>
      <c r="B16" s="30">
        <v>30021096</v>
      </c>
      <c r="C16" s="31" t="s">
        <v>181</v>
      </c>
      <c r="D16" s="29">
        <v>40054611</v>
      </c>
      <c r="E16" s="29" t="s">
        <v>182</v>
      </c>
      <c r="F16" s="29" t="s">
        <v>149</v>
      </c>
      <c r="G16" s="30" t="s">
        <v>155</v>
      </c>
    </row>
    <row r="17" spans="1:7" x14ac:dyDescent="0.2">
      <c r="A17" s="26">
        <v>30019034</v>
      </c>
      <c r="B17" s="30">
        <v>30021097</v>
      </c>
      <c r="C17" s="31" t="s">
        <v>183</v>
      </c>
      <c r="D17" s="29">
        <v>40054655</v>
      </c>
      <c r="E17" s="29" t="s">
        <v>184</v>
      </c>
      <c r="F17" s="29" t="s">
        <v>145</v>
      </c>
      <c r="G17" s="30" t="s">
        <v>185</v>
      </c>
    </row>
    <row r="18" spans="1:7" x14ac:dyDescent="0.2">
      <c r="A18" s="26">
        <v>30019035</v>
      </c>
      <c r="B18" s="30">
        <v>30021081</v>
      </c>
      <c r="C18" s="31" t="s">
        <v>186</v>
      </c>
      <c r="D18" s="29">
        <v>40054877</v>
      </c>
      <c r="E18" s="29" t="s">
        <v>187</v>
      </c>
      <c r="F18" s="29" t="s">
        <v>145</v>
      </c>
      <c r="G18" s="30" t="s">
        <v>188</v>
      </c>
    </row>
    <row r="19" spans="1:7" x14ac:dyDescent="0.2">
      <c r="A19" s="26">
        <v>30019036</v>
      </c>
      <c r="B19" s="30">
        <v>30021090</v>
      </c>
      <c r="C19" s="31" t="s">
        <v>189</v>
      </c>
      <c r="D19" s="29">
        <v>40054267</v>
      </c>
      <c r="E19" s="29" t="s">
        <v>190</v>
      </c>
      <c r="F19" s="29" t="s">
        <v>145</v>
      </c>
      <c r="G19" s="30" t="s">
        <v>185</v>
      </c>
    </row>
    <row r="20" spans="1:7" x14ac:dyDescent="0.2">
      <c r="A20" s="26">
        <v>30019134</v>
      </c>
      <c r="B20" s="30">
        <v>30020998</v>
      </c>
      <c r="C20" s="31" t="s">
        <v>191</v>
      </c>
      <c r="D20" s="29">
        <v>40055778</v>
      </c>
      <c r="E20" s="29" t="s">
        <v>192</v>
      </c>
      <c r="F20" s="29" t="s">
        <v>164</v>
      </c>
      <c r="G20" s="30" t="s">
        <v>193</v>
      </c>
    </row>
    <row r="21" spans="1:7" x14ac:dyDescent="0.2">
      <c r="A21" s="26">
        <v>30019135</v>
      </c>
      <c r="B21" s="30">
        <v>30022966</v>
      </c>
      <c r="C21" s="31" t="s">
        <v>194</v>
      </c>
      <c r="D21" s="29">
        <v>40055861</v>
      </c>
      <c r="E21" s="34" t="s">
        <v>195</v>
      </c>
      <c r="F21" s="29" t="s">
        <v>164</v>
      </c>
      <c r="G21" s="30" t="s">
        <v>168</v>
      </c>
    </row>
    <row r="22" spans="1:7" x14ac:dyDescent="0.2">
      <c r="A22" s="26">
        <v>30019136</v>
      </c>
      <c r="B22" s="30">
        <v>30022965</v>
      </c>
      <c r="C22" s="31" t="s">
        <v>196</v>
      </c>
      <c r="D22" s="29">
        <v>40055761</v>
      </c>
      <c r="E22" s="29" t="s">
        <v>197</v>
      </c>
      <c r="F22" s="29" t="s">
        <v>164</v>
      </c>
      <c r="G22" s="30" t="s">
        <v>165</v>
      </c>
    </row>
    <row r="23" spans="1:7" x14ac:dyDescent="0.2">
      <c r="A23" s="26">
        <v>30019137</v>
      </c>
      <c r="B23" s="30">
        <v>30021084</v>
      </c>
      <c r="C23" s="31" t="s">
        <v>198</v>
      </c>
      <c r="D23" s="29">
        <v>40056149</v>
      </c>
      <c r="E23" s="29" t="s">
        <v>199</v>
      </c>
      <c r="F23" s="29" t="s">
        <v>149</v>
      </c>
      <c r="G23" s="30" t="s">
        <v>155</v>
      </c>
    </row>
    <row r="24" spans="1:7" x14ac:dyDescent="0.2">
      <c r="A24" s="26">
        <v>30019138</v>
      </c>
      <c r="B24" s="30">
        <v>30021078</v>
      </c>
      <c r="C24" s="31" t="s">
        <v>200</v>
      </c>
      <c r="D24" s="29">
        <v>40054053</v>
      </c>
      <c r="E24" s="29" t="s">
        <v>178</v>
      </c>
      <c r="F24" s="29" t="s">
        <v>149</v>
      </c>
      <c r="G24" s="30" t="s">
        <v>155</v>
      </c>
    </row>
    <row r="25" spans="1:7" x14ac:dyDescent="0.2">
      <c r="A25" s="26">
        <v>30019139</v>
      </c>
      <c r="B25" s="30">
        <v>30022967</v>
      </c>
      <c r="C25" s="31" t="s">
        <v>201</v>
      </c>
      <c r="D25" s="29">
        <v>40054380</v>
      </c>
      <c r="E25" s="29" t="s">
        <v>175</v>
      </c>
      <c r="F25" s="29" t="s">
        <v>149</v>
      </c>
      <c r="G25" s="30" t="s">
        <v>150</v>
      </c>
    </row>
    <row r="26" spans="1:7" x14ac:dyDescent="0.2">
      <c r="A26" s="26">
        <v>30019150</v>
      </c>
      <c r="B26" s="30">
        <v>30021085</v>
      </c>
      <c r="C26" s="31" t="s">
        <v>202</v>
      </c>
      <c r="D26" s="29">
        <v>40053444</v>
      </c>
      <c r="E26" s="29" t="s">
        <v>203</v>
      </c>
      <c r="F26" s="29" t="s">
        <v>149</v>
      </c>
      <c r="G26" s="30" t="s">
        <v>150</v>
      </c>
    </row>
    <row r="27" spans="1:7" x14ac:dyDescent="0.2">
      <c r="A27" s="26">
        <v>30019151</v>
      </c>
      <c r="B27" s="30">
        <v>30021036</v>
      </c>
      <c r="C27" s="31" t="s">
        <v>204</v>
      </c>
      <c r="D27" s="29">
        <v>40054046</v>
      </c>
      <c r="E27" s="29" t="s">
        <v>161</v>
      </c>
      <c r="F27" s="29" t="s">
        <v>149</v>
      </c>
      <c r="G27" s="30" t="s">
        <v>155</v>
      </c>
    </row>
    <row r="28" spans="1:7" x14ac:dyDescent="0.2">
      <c r="A28" s="26">
        <v>30019276</v>
      </c>
      <c r="B28" s="30">
        <v>30021034</v>
      </c>
      <c r="C28" s="31" t="s">
        <v>205</v>
      </c>
      <c r="D28" s="29">
        <v>40056268</v>
      </c>
      <c r="E28" s="29" t="s">
        <v>206</v>
      </c>
      <c r="F28" s="29" t="s">
        <v>207</v>
      </c>
      <c r="G28" s="30" t="s">
        <v>208</v>
      </c>
    </row>
    <row r="29" spans="1:7" x14ac:dyDescent="0.2">
      <c r="A29" s="26">
        <v>30019278</v>
      </c>
      <c r="B29" s="30">
        <v>30021039</v>
      </c>
      <c r="C29" s="31" t="s">
        <v>209</v>
      </c>
      <c r="D29" s="29">
        <v>40055778</v>
      </c>
      <c r="E29" s="29" t="s">
        <v>192</v>
      </c>
      <c r="F29" s="29" t="s">
        <v>164</v>
      </c>
      <c r="G29" s="30" t="s">
        <v>193</v>
      </c>
    </row>
    <row r="30" spans="1:7" x14ac:dyDescent="0.2">
      <c r="A30" s="26">
        <v>30019279</v>
      </c>
      <c r="B30" s="30">
        <v>30021100</v>
      </c>
      <c r="C30" s="31" t="s">
        <v>210</v>
      </c>
      <c r="D30" s="29">
        <v>40055861</v>
      </c>
      <c r="E30" s="34" t="s">
        <v>195</v>
      </c>
      <c r="F30" s="29" t="s">
        <v>164</v>
      </c>
      <c r="G30" s="30" t="s">
        <v>168</v>
      </c>
    </row>
    <row r="31" spans="1:7" x14ac:dyDescent="0.2">
      <c r="A31" s="26">
        <v>30019300</v>
      </c>
      <c r="B31" s="30">
        <v>30021048</v>
      </c>
      <c r="C31" s="31" t="s">
        <v>211</v>
      </c>
      <c r="D31" s="29">
        <v>40055761</v>
      </c>
      <c r="E31" s="29" t="s">
        <v>197</v>
      </c>
      <c r="F31" s="29" t="s">
        <v>164</v>
      </c>
      <c r="G31" s="30" t="s">
        <v>165</v>
      </c>
    </row>
    <row r="32" spans="1:7" x14ac:dyDescent="0.2">
      <c r="A32" s="26">
        <v>30019301</v>
      </c>
      <c r="B32" s="30">
        <v>30021072</v>
      </c>
      <c r="C32" s="31" t="s">
        <v>212</v>
      </c>
      <c r="D32" s="29">
        <v>40054611</v>
      </c>
      <c r="E32" s="29" t="s">
        <v>182</v>
      </c>
      <c r="F32" s="29" t="s">
        <v>149</v>
      </c>
      <c r="G32" s="30" t="s">
        <v>155</v>
      </c>
    </row>
    <row r="33" spans="1:8" x14ac:dyDescent="0.2">
      <c r="A33" s="26">
        <v>30019316</v>
      </c>
      <c r="B33" s="30">
        <v>30021057</v>
      </c>
      <c r="C33" s="31" t="s">
        <v>213</v>
      </c>
      <c r="D33" s="29">
        <v>40056150</v>
      </c>
      <c r="E33" s="29" t="s">
        <v>214</v>
      </c>
      <c r="F33" s="29" t="s">
        <v>149</v>
      </c>
      <c r="G33" s="30" t="s">
        <v>155</v>
      </c>
    </row>
    <row r="34" spans="1:8" x14ac:dyDescent="0.2">
      <c r="A34" s="26">
        <v>30019317</v>
      </c>
      <c r="B34" s="30">
        <v>30021058</v>
      </c>
      <c r="C34" s="31" t="s">
        <v>215</v>
      </c>
      <c r="D34" s="29">
        <v>40056149</v>
      </c>
      <c r="E34" s="29" t="s">
        <v>199</v>
      </c>
      <c r="F34" s="29" t="s">
        <v>149</v>
      </c>
      <c r="G34" s="30" t="s">
        <v>155</v>
      </c>
    </row>
    <row r="35" spans="1:8" x14ac:dyDescent="0.2">
      <c r="A35" s="26">
        <v>30019323</v>
      </c>
      <c r="B35" s="30">
        <v>30021059</v>
      </c>
      <c r="C35" s="31" t="s">
        <v>216</v>
      </c>
      <c r="D35" s="29">
        <v>40054877</v>
      </c>
      <c r="E35" s="29" t="s">
        <v>187</v>
      </c>
      <c r="F35" s="29" t="s">
        <v>145</v>
      </c>
      <c r="G35" s="30" t="s">
        <v>185</v>
      </c>
    </row>
    <row r="36" spans="1:8" x14ac:dyDescent="0.2">
      <c r="A36" s="26">
        <v>30019324</v>
      </c>
      <c r="B36" s="30">
        <v>30021087</v>
      </c>
      <c r="C36" s="31" t="s">
        <v>217</v>
      </c>
      <c r="D36" s="29">
        <v>40054267</v>
      </c>
      <c r="E36" s="29" t="s">
        <v>190</v>
      </c>
      <c r="F36" s="29" t="s">
        <v>145</v>
      </c>
      <c r="G36" s="30" t="s">
        <v>188</v>
      </c>
    </row>
    <row r="37" spans="1:8" x14ac:dyDescent="0.2">
      <c r="A37" s="26">
        <v>30019463</v>
      </c>
      <c r="B37" s="30">
        <v>30021101</v>
      </c>
      <c r="C37" s="31" t="s">
        <v>218</v>
      </c>
      <c r="D37" s="29">
        <v>40056718</v>
      </c>
      <c r="E37" s="29" t="s">
        <v>219</v>
      </c>
      <c r="F37" s="29" t="s">
        <v>220</v>
      </c>
      <c r="G37" s="30" t="s">
        <v>221</v>
      </c>
    </row>
    <row r="38" spans="1:8" x14ac:dyDescent="0.2">
      <c r="A38" s="26">
        <v>30019848</v>
      </c>
      <c r="B38" s="30">
        <v>30022969</v>
      </c>
      <c r="C38" s="31" t="s">
        <v>222</v>
      </c>
      <c r="D38" s="29">
        <v>40057581</v>
      </c>
      <c r="E38" s="29" t="s">
        <v>223</v>
      </c>
      <c r="F38" s="29" t="s">
        <v>149</v>
      </c>
      <c r="G38" s="30" t="s">
        <v>173</v>
      </c>
    </row>
    <row r="39" spans="1:8" x14ac:dyDescent="0.2">
      <c r="A39" s="26">
        <v>30019849</v>
      </c>
      <c r="B39" s="30">
        <v>30023000</v>
      </c>
      <c r="C39" s="31" t="s">
        <v>224</v>
      </c>
      <c r="D39" s="29">
        <v>40057630</v>
      </c>
      <c r="E39" s="29" t="s">
        <v>225</v>
      </c>
      <c r="F39" s="29" t="s">
        <v>145</v>
      </c>
      <c r="G39" s="30" t="s">
        <v>226</v>
      </c>
    </row>
    <row r="40" spans="1:8" x14ac:dyDescent="0.2">
      <c r="A40" s="26">
        <v>30019851</v>
      </c>
      <c r="B40" s="30">
        <v>30022968</v>
      </c>
      <c r="C40" s="31" t="s">
        <v>227</v>
      </c>
      <c r="D40" s="29">
        <v>40054380</v>
      </c>
      <c r="E40" s="29" t="s">
        <v>175</v>
      </c>
      <c r="F40" s="29" t="s">
        <v>149</v>
      </c>
      <c r="G40" s="30" t="s">
        <v>180</v>
      </c>
    </row>
    <row r="41" spans="1:8" x14ac:dyDescent="0.2">
      <c r="A41" s="26">
        <v>30019882</v>
      </c>
      <c r="B41" s="30">
        <v>30021103</v>
      </c>
      <c r="C41" s="31" t="s">
        <v>228</v>
      </c>
      <c r="D41" s="29">
        <v>40056151</v>
      </c>
      <c r="E41" s="29" t="s">
        <v>229</v>
      </c>
      <c r="F41" s="29" t="s">
        <v>149</v>
      </c>
      <c r="G41" s="30" t="s">
        <v>173</v>
      </c>
    </row>
    <row r="42" spans="1:8" x14ac:dyDescent="0.2">
      <c r="A42" s="26">
        <v>30019900</v>
      </c>
      <c r="B42" s="30">
        <v>30023001</v>
      </c>
      <c r="C42" s="31" t="s">
        <v>230</v>
      </c>
      <c r="D42" s="29">
        <v>40056268</v>
      </c>
      <c r="E42" s="29" t="s">
        <v>206</v>
      </c>
      <c r="F42" s="29" t="s">
        <v>207</v>
      </c>
      <c r="G42" s="30" t="s">
        <v>208</v>
      </c>
    </row>
    <row r="43" spans="1:8" x14ac:dyDescent="0.2">
      <c r="A43" s="26">
        <v>30019938</v>
      </c>
      <c r="B43" s="35">
        <v>30021031</v>
      </c>
      <c r="C43" s="36" t="s">
        <v>231</v>
      </c>
      <c r="D43" s="29">
        <v>40058133</v>
      </c>
      <c r="E43" s="29" t="s">
        <v>232</v>
      </c>
      <c r="F43" s="29" t="s">
        <v>149</v>
      </c>
      <c r="G43" s="30" t="s">
        <v>173</v>
      </c>
    </row>
    <row r="44" spans="1:8" x14ac:dyDescent="0.2">
      <c r="A44" s="37">
        <v>30019959</v>
      </c>
      <c r="B44" s="38">
        <v>30023002</v>
      </c>
      <c r="C44" s="39" t="s">
        <v>233</v>
      </c>
      <c r="D44" s="29">
        <v>40056151</v>
      </c>
      <c r="E44" s="29" t="s">
        <v>229</v>
      </c>
      <c r="F44" s="29" t="s">
        <v>149</v>
      </c>
      <c r="G44" s="30" t="s">
        <v>155</v>
      </c>
    </row>
    <row r="45" spans="1:8" x14ac:dyDescent="0.2">
      <c r="A45" s="37">
        <v>30020216</v>
      </c>
      <c r="B45" s="38">
        <v>30023003</v>
      </c>
      <c r="C45" s="39" t="s">
        <v>234</v>
      </c>
      <c r="D45" s="29">
        <v>40058133</v>
      </c>
      <c r="E45" s="29" t="s">
        <v>232</v>
      </c>
      <c r="F45" s="29" t="s">
        <v>149</v>
      </c>
      <c r="G45" s="30" t="s">
        <v>155</v>
      </c>
    </row>
    <row r="46" spans="1:8" x14ac:dyDescent="0.2">
      <c r="A46" s="40">
        <v>30020624</v>
      </c>
      <c r="B46" s="41">
        <v>30023094</v>
      </c>
      <c r="C46" s="41" t="s">
        <v>125</v>
      </c>
      <c r="D46" s="29">
        <v>40055861</v>
      </c>
      <c r="E46" s="34" t="s">
        <v>195</v>
      </c>
      <c r="F46" s="29" t="s">
        <v>164</v>
      </c>
      <c r="G46" s="30" t="s">
        <v>168</v>
      </c>
    </row>
    <row r="47" spans="1:8" x14ac:dyDescent="0.2">
      <c r="A47" s="26">
        <v>30020222</v>
      </c>
      <c r="B47" s="29">
        <v>30022965</v>
      </c>
      <c r="C47" s="29" t="s">
        <v>104</v>
      </c>
      <c r="D47" s="29">
        <v>40055761</v>
      </c>
      <c r="E47" s="29" t="s">
        <v>197</v>
      </c>
      <c r="F47" s="29" t="s">
        <v>164</v>
      </c>
      <c r="G47" s="30" t="s">
        <v>165</v>
      </c>
      <c r="H47" s="42"/>
    </row>
    <row r="48" spans="1:8" x14ac:dyDescent="0.2">
      <c r="A48" s="26">
        <v>30020559</v>
      </c>
      <c r="B48" s="29">
        <v>30023087</v>
      </c>
      <c r="C48" s="29" t="s">
        <v>131</v>
      </c>
      <c r="D48" s="29">
        <v>40058861</v>
      </c>
      <c r="E48" s="29" t="s">
        <v>235</v>
      </c>
      <c r="F48" s="29" t="s">
        <v>164</v>
      </c>
      <c r="G48" s="29" t="s">
        <v>236</v>
      </c>
    </row>
    <row r="49" spans="1:7" x14ac:dyDescent="0.2">
      <c r="A49" s="26">
        <v>30020249</v>
      </c>
      <c r="B49" s="29">
        <v>30023110</v>
      </c>
      <c r="C49" s="29" t="s">
        <v>132</v>
      </c>
      <c r="D49" s="29">
        <v>40055861</v>
      </c>
      <c r="E49" s="34" t="s">
        <v>195</v>
      </c>
      <c r="F49" s="29" t="s">
        <v>164</v>
      </c>
      <c r="G49" s="30" t="s">
        <v>168</v>
      </c>
    </row>
    <row r="50" spans="1:7" x14ac:dyDescent="0.2">
      <c r="A50" s="26">
        <v>30020459</v>
      </c>
      <c r="B50" s="29">
        <v>30023111</v>
      </c>
      <c r="C50" s="29" t="s">
        <v>133</v>
      </c>
      <c r="D50" s="29">
        <v>40055861</v>
      </c>
      <c r="E50" s="34" t="s">
        <v>195</v>
      </c>
      <c r="F50" s="29" t="s">
        <v>164</v>
      </c>
      <c r="G50" s="30" t="s">
        <v>168</v>
      </c>
    </row>
    <row r="51" spans="1:7" x14ac:dyDescent="0.2">
      <c r="A51" s="26">
        <v>30020662</v>
      </c>
      <c r="B51" s="29">
        <v>30023089</v>
      </c>
      <c r="C51" s="29" t="s">
        <v>134</v>
      </c>
      <c r="D51" s="29">
        <v>40059668</v>
      </c>
      <c r="E51" s="29" t="s">
        <v>237</v>
      </c>
      <c r="F51" s="29" t="s">
        <v>207</v>
      </c>
      <c r="G51" s="29" t="s">
        <v>243</v>
      </c>
    </row>
    <row r="52" spans="1:7" x14ac:dyDescent="0.2">
      <c r="A52" s="37">
        <v>30020661</v>
      </c>
      <c r="B52" s="43">
        <v>30023088</v>
      </c>
      <c r="C52" s="43" t="s">
        <v>135</v>
      </c>
      <c r="D52" s="29">
        <v>40059669</v>
      </c>
      <c r="E52" s="29" t="s">
        <v>238</v>
      </c>
      <c r="F52" s="29" t="s">
        <v>207</v>
      </c>
      <c r="G52" s="29" t="s">
        <v>244</v>
      </c>
    </row>
    <row r="53" spans="1:7" x14ac:dyDescent="0.2">
      <c r="A53" s="44">
        <v>30018695</v>
      </c>
      <c r="B53" s="45">
        <v>30021054</v>
      </c>
      <c r="C53" s="46" t="s">
        <v>127</v>
      </c>
      <c r="D53" s="29">
        <v>40054049</v>
      </c>
      <c r="E53" s="29" t="s">
        <v>239</v>
      </c>
      <c r="F53" s="29" t="s">
        <v>149</v>
      </c>
      <c r="G53" s="30" t="s">
        <v>173</v>
      </c>
    </row>
    <row r="54" spans="1:7" x14ac:dyDescent="0.2">
      <c r="A54" s="7">
        <v>30018317</v>
      </c>
      <c r="B54" s="20">
        <v>30021035</v>
      </c>
      <c r="C54" s="20" t="s">
        <v>85</v>
      </c>
      <c r="D54" s="29">
        <v>40053275</v>
      </c>
      <c r="E54" s="29" t="s">
        <v>241</v>
      </c>
      <c r="F54" s="29" t="s">
        <v>149</v>
      </c>
      <c r="G54" s="29" t="s">
        <v>242</v>
      </c>
    </row>
    <row r="55" spans="1:7" x14ac:dyDescent="0.2">
      <c r="A55" s="47">
        <v>30021325</v>
      </c>
      <c r="B55" s="19">
        <v>30023202</v>
      </c>
      <c r="C55" s="19" t="s">
        <v>245</v>
      </c>
      <c r="D55">
        <v>40062544</v>
      </c>
      <c r="E55" t="s">
        <v>247</v>
      </c>
      <c r="F55" s="43" t="s">
        <v>248</v>
      </c>
      <c r="G55" t="s">
        <v>249</v>
      </c>
    </row>
    <row r="56" spans="1:7" x14ac:dyDescent="0.2">
      <c r="A56" s="47">
        <v>30020663</v>
      </c>
      <c r="B56" s="18">
        <v>30023203</v>
      </c>
      <c r="C56" s="18" t="s">
        <v>250</v>
      </c>
      <c r="D56" s="29">
        <v>40059667</v>
      </c>
      <c r="E56" s="29" t="s">
        <v>251</v>
      </c>
      <c r="F56" s="29" t="s">
        <v>207</v>
      </c>
      <c r="G56" s="29" t="s">
        <v>243</v>
      </c>
    </row>
    <row r="57" spans="1:7" x14ac:dyDescent="0.2">
      <c r="A57" s="47">
        <v>30020470</v>
      </c>
      <c r="B57" s="19">
        <v>30023326</v>
      </c>
      <c r="C57" s="19" t="s">
        <v>252</v>
      </c>
      <c r="D57" s="29">
        <v>40052934</v>
      </c>
      <c r="E57" s="29" t="s">
        <v>254</v>
      </c>
      <c r="F57" s="29" t="s">
        <v>145</v>
      </c>
      <c r="G57" s="30" t="s">
        <v>146</v>
      </c>
    </row>
    <row r="58" spans="1:7" x14ac:dyDescent="0.2">
      <c r="D58" s="29">
        <v>40054877</v>
      </c>
      <c r="E58" s="29" t="s">
        <v>187</v>
      </c>
      <c r="F58" s="29" t="s">
        <v>145</v>
      </c>
      <c r="G58" s="30" t="s">
        <v>185</v>
      </c>
    </row>
  </sheetData>
  <autoFilter ref="A1:G54" xr:uid="{00000000-0009-0000-0000-00000B000000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12</vt:i4>
      </vt:variant>
    </vt:vector>
  </HeadingPairs>
  <TitlesOfParts>
    <vt:vector size="12" baseType="lpstr">
      <vt:lpstr>MODEL</vt:lpstr>
      <vt:lpstr>PEAQ STARY MSN</vt:lpstr>
      <vt:lpstr>MD</vt:lpstr>
      <vt:lpstr>BIOS</vt:lpstr>
      <vt:lpstr>SWM MEDION</vt:lpstr>
      <vt:lpstr>naprawa</vt:lpstr>
      <vt:lpstr>Shipping mode medion</vt:lpstr>
      <vt:lpstr>Shipping mode PEAQ</vt:lpstr>
      <vt:lpstr>Arkusz1</vt:lpstr>
      <vt:lpstr>bledy QC</vt:lpstr>
      <vt:lpstr>SWM PEAQ</vt:lpstr>
      <vt:lpstr>BIOS PG</vt:lpstr>
    </vt:vector>
  </TitlesOfParts>
  <Company>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mmicner</dc:creator>
  <cp:lastModifiedBy>Duch003</cp:lastModifiedBy>
  <cp:lastPrinted>2017-09-28T06:14:15Z</cp:lastPrinted>
  <dcterms:created xsi:type="dcterms:W3CDTF">2009-06-16T06:27:26Z</dcterms:created>
  <dcterms:modified xsi:type="dcterms:W3CDTF">2018-07-30T22:27:20Z</dcterms:modified>
</cp:coreProperties>
</file>